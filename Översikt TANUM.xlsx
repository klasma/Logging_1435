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46306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46306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46306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46306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46306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46306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46306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46306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46306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46306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46306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46306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46306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46306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46306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37930-2023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45160</v>
      </c>
      <c r="E23" s="1" t="n">
        <v>46306</v>
      </c>
      <c r="F23" t="inlineStr">
        <is>
          <t>VÄSTRA GÖTALANDS LÄN</t>
        </is>
      </c>
      <c r="G23" t="inlineStr">
        <is>
          <t>TANUM</t>
        </is>
      </c>
      <c r="I23" t="n">
        <v>5.2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Dofttaggsvamp
Orange taggsvamp
Skarp dropptaggsvamp</t>
        </is>
      </c>
      <c r="W23">
        <f>HYPERLINK("https://klasma.github.io/Logging_1435/artfynd/A 37930-2023 artfynd.xlsx", "A 37930-2023")</f>
        <v/>
      </c>
      <c r="X23">
        <f>HYPERLINK("https://klasma.github.io/Logging_1435/kartor/A 37930-2023 karta.png", "A 37930-2023")</f>
        <v/>
      </c>
      <c r="Y23">
        <f>HYPERLINK("https://klasma.github.io/Logging_1435/kartor_geotiff/A 37930-2023 georefererad karta.tif", "A 37930-2023")</f>
        <v/>
      </c>
      <c r="AA23">
        <f>HYPERLINK("https://klasma.github.io/Logging_1435/klagomål/A 37930-2023 FSC-klagomål.docx", "A 37930-2023")</f>
        <v/>
      </c>
      <c r="AB23">
        <f>HYPERLINK("https://klasma.github.io/Logging_1435/klagomålsmail/A 37930-2023 FSC-klagomål mail.docx", "A 37930-2023")</f>
        <v/>
      </c>
      <c r="AC23">
        <f>HYPERLINK("https://klasma.github.io/Logging_1435/tillsyn/A 37930-2023 tillsynsbegäran.docx", "A 37930-2023")</f>
        <v/>
      </c>
      <c r="AD23">
        <f>HYPERLINK("https://klasma.github.io/Logging_1435/tillsynsmail/A 37930-2023 tillsynsbegäran mail.docx", "A 37930-2023")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46306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46306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46306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46306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46306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46306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46306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46306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46306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13437-2024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45387</v>
      </c>
      <c r="E36" s="1" t="n">
        <v>46306</v>
      </c>
      <c r="F36" t="inlineStr">
        <is>
          <t>VÄSTRA GÖTALANDS LÄN</t>
        </is>
      </c>
      <c r="G36" t="inlineStr">
        <is>
          <t>TANUM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13437-2024 artfynd.xlsx", "A 13437-2024")</f>
        <v/>
      </c>
      <c r="X36">
        <f>HYPERLINK("https://klasma.github.io/Logging_1435/kartor/A 13437-2024 karta.png", "A 13437-2024")</f>
        <v/>
      </c>
      <c r="Y36">
        <f>HYPERLINK("https://klasma.github.io/Logging_1435/kartor_geotiff/A 13437-2024 georefererad karta.tif", "A 13437-2024")</f>
        <v/>
      </c>
      <c r="AA36">
        <f>HYPERLINK("https://klasma.github.io/Logging_1435/klagomål/A 13437-2024 FSC-klagomål.docx", "A 13437-2024")</f>
        <v/>
      </c>
      <c r="AB36">
        <f>HYPERLINK("https://klasma.github.io/Logging_1435/klagomålsmail/A 13437-2024 FSC-klagomål mail.docx", "A 13437-2024")</f>
        <v/>
      </c>
      <c r="AC36">
        <f>HYPERLINK("https://klasma.github.io/Logging_1435/tillsyn/A 13437-2024 tillsynsbegäran.docx", "A 13437-2024")</f>
        <v/>
      </c>
      <c r="AD36">
        <f>HYPERLINK("https://klasma.github.io/Logging_1435/tillsynsmail/A 13437-2024 tillsynsbegäran mail.docx", "A 13437-2024")</f>
        <v/>
      </c>
    </row>
    <row r="37" ht="15" customHeight="1">
      <c r="A37" t="inlineStr">
        <is>
          <t>A 10764-2025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46306</v>
      </c>
      <c r="F37" t="inlineStr">
        <is>
          <t>VÄSTRA GÖTALANDS LÄN</t>
        </is>
      </c>
      <c r="G37" t="inlineStr">
        <is>
          <t>TANUM</t>
        </is>
      </c>
      <c r="I37" t="n">
        <v>12.6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HYPERLINK("https://klasma.github.io/Logging_1435/artfynd/A 10764-2025 artfynd.xlsx", "A 10764-2025")</f>
        <v/>
      </c>
      <c r="X37">
        <f>HYPERLINK("https://klasma.github.io/Logging_1435/kartor/A 10764-2025 karta.png", "A 10764-2025")</f>
        <v/>
      </c>
      <c r="Y37">
        <f>HYPERLINK("https://klasma.github.io/Logging_1435/kartor_geotiff/A 10764-2025 georefererad karta.tif", "A 10764-2025")</f>
        <v/>
      </c>
      <c r="AA37">
        <f>HYPERLINK("https://klasma.github.io/Logging_1435/klagomål/A 10764-2025 FSC-klagomål.docx", "A 10764-2025")</f>
        <v/>
      </c>
      <c r="AB37">
        <f>HYPERLINK("https://klasma.github.io/Logging_1435/klagomålsmail/A 10764-2025 FSC-klagomål mail.docx", "A 10764-2025")</f>
        <v/>
      </c>
      <c r="AC37">
        <f>HYPERLINK("https://klasma.github.io/Logging_1435/tillsyn/A 10764-2025 tillsynsbegäran.docx", "A 10764-2025")</f>
        <v/>
      </c>
      <c r="AD37">
        <f>HYPERLINK("https://klasma.github.io/Logging_1435/tillsynsmail/A 10764-2025 tillsynsbegäran mail.docx", "A 10764-2025")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46306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46306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Åkerkulla</t>
        </is>
      </c>
      <c r="W39">
        <f>HYPERLINK("https://klasma.github.io/Logging_1435/artfynd/A 39358-2025 artfynd.xlsx", "A 39358-2025")</f>
        <v/>
      </c>
      <c r="X39">
        <f>HYPERLINK("https://klasma.github.io/Logging_1435/kartor/A 39358-2025 karta.png", "A 39358-2025")</f>
        <v/>
      </c>
      <c r="Y39">
        <f>HYPERLINK("https://klasma.github.io/Logging_1435/kartor_geotiff/A 39358-2025 georefererad karta.tif", "A 39358-2025")</f>
        <v/>
      </c>
      <c r="AA39">
        <f>HYPERLINK("https://klasma.github.io/Logging_1435/klagomål/A 39358-2025 FSC-klagomål.docx", "A 39358-2025")</f>
        <v/>
      </c>
      <c r="AB39">
        <f>HYPERLINK("https://klasma.github.io/Logging_1435/klagomålsmail/A 39358-2025 FSC-klagomål mail.docx", "A 39358-2025")</f>
        <v/>
      </c>
      <c r="AC39">
        <f>HYPERLINK("https://klasma.github.io/Logging_1435/tillsyn/A 39358-2025 tillsynsbegäran.docx", "A 39358-2025")</f>
        <v/>
      </c>
      <c r="AD39">
        <f>HYPERLINK("https://klasma.github.io/Logging_1435/tillsynsmail/A 39358-2025 tillsynsbegäran mail.docx", "A 39358-2025")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46306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23149-2025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46306</v>
      </c>
      <c r="F41" t="inlineStr">
        <is>
          <t>VÄSTRA GÖTALANDS LÄN</t>
        </is>
      </c>
      <c r="G41" t="inlineStr">
        <is>
          <t>TANUM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HYPERLINK("https://klasma.github.io/Logging_1435/artfynd/A 23149-2025 artfynd.xlsx", "A 23149-2025")</f>
        <v/>
      </c>
      <c r="X41">
        <f>HYPERLINK("https://klasma.github.io/Logging_1435/kartor/A 23149-2025 karta.png", "A 23149-2025")</f>
        <v/>
      </c>
      <c r="Y41">
        <f>HYPERLINK("https://klasma.github.io/Logging_1435/kartor_geotiff/A 23149-2025 georefererad karta.tif", "A 23149-2025")</f>
        <v/>
      </c>
      <c r="AA41">
        <f>HYPERLINK("https://klasma.github.io/Logging_1435/klagomål/A 23149-2025 FSC-klagomål.docx", "A 23149-2025")</f>
        <v/>
      </c>
      <c r="AB41">
        <f>HYPERLINK("https://klasma.github.io/Logging_1435/klagomålsmail/A 23149-2025 FSC-klagomål mail.docx", "A 23149-2025")</f>
        <v/>
      </c>
      <c r="AC41">
        <f>HYPERLINK("https://klasma.github.io/Logging_1435/tillsyn/A 23149-2025 tillsynsbegäran.docx", "A 23149-2025")</f>
        <v/>
      </c>
      <c r="AD41">
        <f>HYPERLINK("https://klasma.github.io/Logging_1435/tillsynsmail/A 23149-2025 tillsynsbegäran mail.docx", "A 23149-2025")</f>
        <v/>
      </c>
    </row>
    <row r="42" ht="15" customHeight="1">
      <c r="A42" t="inlineStr">
        <is>
          <t>A 46044-2023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46306</v>
      </c>
      <c r="F42" t="inlineStr">
        <is>
          <t>VÄSTRA GÖTALANDS LÄN</t>
        </is>
      </c>
      <c r="G42" t="inlineStr">
        <is>
          <t>TANUM</t>
        </is>
      </c>
      <c r="I42" t="n">
        <v>33.6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Korallblylav</t>
        </is>
      </c>
      <c r="W42">
        <f>HYPERLINK("https://klasma.github.io/Logging_1435/artfynd/A 46044-2023 artfynd.xlsx", "A 46044-2023")</f>
        <v/>
      </c>
      <c r="X42">
        <f>HYPERLINK("https://klasma.github.io/Logging_1435/kartor/A 46044-2023 karta.png", "A 46044-2023")</f>
        <v/>
      </c>
      <c r="Y42">
        <f>HYPERLINK("https://klasma.github.io/Logging_1435/kartor_geotiff/A 46044-2023 georefererad karta.tif", "A 46044-2023")</f>
        <v/>
      </c>
      <c r="AA42">
        <f>HYPERLINK("https://klasma.github.io/Logging_1435/klagomål/A 46044-2023 FSC-klagomål.docx", "A 46044-2023")</f>
        <v/>
      </c>
      <c r="AB42">
        <f>HYPERLINK("https://klasma.github.io/Logging_1435/klagomålsmail/A 46044-2023 FSC-klagomål mail.docx", "A 46044-2023")</f>
        <v/>
      </c>
      <c r="AC42">
        <f>HYPERLINK("https://klasma.github.io/Logging_1435/tillsyn/A 46044-2023 tillsynsbegäran.docx", "A 46044-2023")</f>
        <v/>
      </c>
      <c r="AD42">
        <f>HYPERLINK("https://klasma.github.io/Logging_1435/tillsynsmail/A 46044-2023 tillsynsbegäran mail.docx", "A 46044-2023")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46306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46306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57965-2023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46306</v>
      </c>
      <c r="F45" t="inlineStr">
        <is>
          <t>VÄSTRA GÖTALANDS LÄN</t>
        </is>
      </c>
      <c r="G45" t="inlineStr">
        <is>
          <t>TANUM</t>
        </is>
      </c>
      <c r="I45" t="n">
        <v>10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HYPERLINK("https://klasma.github.io/Logging_1435/artfynd/A 57965-2023 artfynd.xlsx", "A 57965-2023")</f>
        <v/>
      </c>
      <c r="X45">
        <f>HYPERLINK("https://klasma.github.io/Logging_1435/kartor/A 57965-2023 karta.png", "A 57965-2023")</f>
        <v/>
      </c>
      <c r="Y45">
        <f>HYPERLINK("https://klasma.github.io/Logging_1435/kartor_geotiff/A 57965-2023 georefererad karta.tif", "A 57965-2023")</f>
        <v/>
      </c>
      <c r="AA45">
        <f>HYPERLINK("https://klasma.github.io/Logging_1435/klagomål/A 57965-2023 FSC-klagomål.docx", "A 57965-2023")</f>
        <v/>
      </c>
      <c r="AB45">
        <f>HYPERLINK("https://klasma.github.io/Logging_1435/klagomålsmail/A 57965-2023 FSC-klagomål mail.docx", "A 57965-2023")</f>
        <v/>
      </c>
      <c r="AC45">
        <f>HYPERLINK("https://klasma.github.io/Logging_1435/tillsyn/A 57965-2023 tillsynsbegäran.docx", "A 57965-2023")</f>
        <v/>
      </c>
      <c r="AD45">
        <f>HYPERLINK("https://klasma.github.io/Logging_1435/tillsynsmail/A 57965-2023 tillsynsbegäran mail.docx", "A 57965-2023")</f>
        <v/>
      </c>
    </row>
    <row r="46" ht="15" customHeight="1">
      <c r="A46" t="inlineStr">
        <is>
          <t>A 9698-2024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46306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HYPERLINK("https://klasma.github.io/Logging_1435/artfynd/A 9698-2024 artfynd.xlsx", "A 9698-2024")</f>
        <v/>
      </c>
      <c r="X46">
        <f>HYPERLINK("https://klasma.github.io/Logging_1435/kartor/A 9698-2024 karta.png", "A 9698-2024")</f>
        <v/>
      </c>
      <c r="Y46">
        <f>HYPERLINK("https://klasma.github.io/Logging_1435/kartor_geotiff/A 9698-2024 georefererad karta.tif", "A 9698-2024")</f>
        <v/>
      </c>
      <c r="AA46">
        <f>HYPERLINK("https://klasma.github.io/Logging_1435/klagomål/A 9698-2024 FSC-klagomål.docx", "A 9698-2024")</f>
        <v/>
      </c>
      <c r="AB46">
        <f>HYPERLINK("https://klasma.github.io/Logging_1435/klagomålsmail/A 9698-2024 FSC-klagomål mail.docx", "A 9698-2024")</f>
        <v/>
      </c>
      <c r="AC46">
        <f>HYPERLINK("https://klasma.github.io/Logging_1435/tillsyn/A 9698-2024 tillsynsbegäran.docx", "A 9698-2024")</f>
        <v/>
      </c>
      <c r="AD46">
        <f>HYPERLINK("https://klasma.github.io/Logging_1435/tillsynsmail/A 9698-2024 tillsynsbegäran mail.docx", "A 9698-2024")</f>
        <v/>
      </c>
    </row>
    <row r="47" ht="15" customHeight="1">
      <c r="A47" t="inlineStr">
        <is>
          <t>A 19343-2025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46306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Spindelblomster</t>
        </is>
      </c>
      <c r="W47">
        <f>HYPERLINK("https://klasma.github.io/Logging_1435/artfynd/A 19343-2025 artfynd.xlsx", "A 19343-2025")</f>
        <v/>
      </c>
      <c r="X47">
        <f>HYPERLINK("https://klasma.github.io/Logging_1435/kartor/A 19343-2025 karta.png", "A 19343-2025")</f>
        <v/>
      </c>
      <c r="Y47">
        <f>HYPERLINK("https://klasma.github.io/Logging_1435/kartor_geotiff/A 19343-2025 georefererad karta.tif", "A 19343-2025")</f>
        <v/>
      </c>
      <c r="AA47">
        <f>HYPERLINK("https://klasma.github.io/Logging_1435/klagomål/A 19343-2025 FSC-klagomål.docx", "A 19343-2025")</f>
        <v/>
      </c>
      <c r="AB47">
        <f>HYPERLINK("https://klasma.github.io/Logging_1435/klagomålsmail/A 19343-2025 FSC-klagomål mail.docx", "A 19343-2025")</f>
        <v/>
      </c>
      <c r="AC47">
        <f>HYPERLINK("https://klasma.github.io/Logging_1435/tillsyn/A 19343-2025 tillsynsbegäran.docx", "A 19343-2025")</f>
        <v/>
      </c>
      <c r="AD47">
        <f>HYPERLINK("https://klasma.github.io/Logging_1435/tillsynsmail/A 19343-2025 tillsynsbegäran mail.docx", "A 19343-2025")</f>
        <v/>
      </c>
    </row>
    <row r="48" ht="15" customHeight="1">
      <c r="A48" t="inlineStr">
        <is>
          <t>A 36121-2025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45866</v>
      </c>
      <c r="E48" s="1" t="n">
        <v>46306</v>
      </c>
      <c r="F48" t="inlineStr">
        <is>
          <t>VÄSTRA GÖTALANDS LÄN</t>
        </is>
      </c>
      <c r="G48" t="inlineStr">
        <is>
          <t>TANUM</t>
        </is>
      </c>
      <c r="I48" t="n">
        <v>3.3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HYPERLINK("https://klasma.github.io/Logging_1435/artfynd/A 36121-2025 artfynd.xlsx", "A 36121-2025")</f>
        <v/>
      </c>
      <c r="X48">
        <f>HYPERLINK("https://klasma.github.io/Logging_1435/kartor/A 36121-2025 karta.png", "A 36121-2025")</f>
        <v/>
      </c>
      <c r="Y48">
        <f>HYPERLINK("https://klasma.github.io/Logging_1435/kartor_geotiff/A 36121-2025 georefererad karta.tif", "A 36121-2025")</f>
        <v/>
      </c>
      <c r="AA48">
        <f>HYPERLINK("https://klasma.github.io/Logging_1435/klagomål/A 36121-2025 FSC-klagomål.docx", "A 36121-2025")</f>
        <v/>
      </c>
      <c r="AB48">
        <f>HYPERLINK("https://klasma.github.io/Logging_1435/klagomålsmail/A 36121-2025 FSC-klagomål mail.docx", "A 36121-2025")</f>
        <v/>
      </c>
      <c r="AC48">
        <f>HYPERLINK("https://klasma.github.io/Logging_1435/tillsyn/A 36121-2025 tillsynsbegäran.docx", "A 36121-2025")</f>
        <v/>
      </c>
      <c r="AD48">
        <f>HYPERLINK("https://klasma.github.io/Logging_1435/tillsynsmail/A 36121-2025 tillsynsbegäran mail.docx", "A 36121-2025")</f>
        <v/>
      </c>
    </row>
    <row r="49" ht="15" customHeight="1">
      <c r="A49" t="inlineStr">
        <is>
          <t>A 4208-2025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46306</v>
      </c>
      <c r="F49" t="inlineStr">
        <is>
          <t>VÄSTRA GÖTALANDS LÄN</t>
        </is>
      </c>
      <c r="G49" t="inlineStr">
        <is>
          <t>TANUM</t>
        </is>
      </c>
      <c r="I49" t="n">
        <v>19.3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HYPERLINK("https://klasma.github.io/Logging_1435/artfynd/A 4208-2025 artfynd.xlsx", "A 4208-2025")</f>
        <v/>
      </c>
      <c r="X49">
        <f>HYPERLINK("https://klasma.github.io/Logging_1435/kartor/A 4208-2025 karta.png", "A 4208-2025")</f>
        <v/>
      </c>
      <c r="Y49">
        <f>HYPERLINK("https://klasma.github.io/Logging_1435/kartor_geotiff/A 4208-2025 georefererad karta.tif", "A 4208-2025")</f>
        <v/>
      </c>
      <c r="AA49">
        <f>HYPERLINK("https://klasma.github.io/Logging_1435/klagomål/A 4208-2025 FSC-klagomål.docx", "A 4208-2025")</f>
        <v/>
      </c>
      <c r="AB49">
        <f>HYPERLINK("https://klasma.github.io/Logging_1435/klagomålsmail/A 4208-2025 FSC-klagomål mail.docx", "A 4208-2025")</f>
        <v/>
      </c>
      <c r="AC49">
        <f>HYPERLINK("https://klasma.github.io/Logging_1435/tillsyn/A 4208-2025 tillsynsbegäran.docx", "A 4208-2025")</f>
        <v/>
      </c>
      <c r="AD49">
        <f>HYPERLINK("https://klasma.github.io/Logging_1435/tillsynsmail/A 4208-2025 tillsynsbegäran mail.docx", "A 4208-2025")</f>
        <v/>
      </c>
    </row>
    <row r="50" ht="15" customHeight="1">
      <c r="A50" t="inlineStr">
        <is>
          <t>A 57972-2025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46306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HYPERLINK("https://klasma.github.io/Logging_1435/artfynd/A 57972-2025 artfynd.xlsx", "A 57972-2025")</f>
        <v/>
      </c>
      <c r="X50">
        <f>HYPERLINK("https://klasma.github.io/Logging_1435/kartor/A 57972-2025 karta.png", "A 57972-2025")</f>
        <v/>
      </c>
      <c r="Y50">
        <f>HYPERLINK("https://klasma.github.io/Logging_1435/kartor_geotiff/A 57972-2025 georefererad karta.tif", "A 57972-2025")</f>
        <v/>
      </c>
      <c r="AA50">
        <f>HYPERLINK("https://klasma.github.io/Logging_1435/klagomål/A 57972-2025 FSC-klagomål.docx", "A 57972-2025")</f>
        <v/>
      </c>
      <c r="AB50">
        <f>HYPERLINK("https://klasma.github.io/Logging_1435/klagomålsmail/A 57972-2025 FSC-klagomål mail.docx", "A 57972-2025")</f>
        <v/>
      </c>
      <c r="AC50">
        <f>HYPERLINK("https://klasma.github.io/Logging_1435/tillsyn/A 57972-2025 tillsynsbegäran.docx", "A 57972-2025")</f>
        <v/>
      </c>
      <c r="AD50">
        <f>HYPERLINK("https://klasma.github.io/Logging_1435/tillsynsmail/A 57972-2025 tillsynsbegäran mail.docx", "A 57972-2025")</f>
        <v/>
      </c>
      <c r="AE50">
        <f>HYPERLINK("https://klasma.github.io/Logging_1435/fåglar/A 57972-2025 prioriterade fågelarter.docx", "A 57972-2025")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46306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9276-2026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46306</v>
      </c>
      <c r="F52" t="inlineStr">
        <is>
          <t>VÄSTRA GÖTALANDS LÄN</t>
        </is>
      </c>
      <c r="G52" t="inlineStr">
        <is>
          <t>TANUM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HYPERLINK("https://klasma.github.io/Logging_1435/artfynd/A 9276-2026 artfynd.xlsx", "A 9276-2026")</f>
        <v/>
      </c>
      <c r="X52">
        <f>HYPERLINK("https://klasma.github.io/Logging_1435/kartor/A 9276-2026 karta.png", "A 9276-2026")</f>
        <v/>
      </c>
      <c r="Y52">
        <f>HYPERLINK("https://klasma.github.io/Logging_1435/kartor_geotiff/A 9276-2026 georefererad karta.tif", "A 9276-2026")</f>
        <v/>
      </c>
      <c r="AA52">
        <f>HYPERLINK("https://klasma.github.io/Logging_1435/klagomål/A 9276-2026 FSC-klagomål.docx", "A 9276-2026")</f>
        <v/>
      </c>
      <c r="AB52">
        <f>HYPERLINK("https://klasma.github.io/Logging_1435/klagomålsmail/A 9276-2026 FSC-klagomål mail.docx", "A 9276-2026")</f>
        <v/>
      </c>
      <c r="AC52">
        <f>HYPERLINK("https://klasma.github.io/Logging_1435/tillsyn/A 9276-2026 tillsynsbegäran.docx", "A 9276-2026")</f>
        <v/>
      </c>
      <c r="AD52">
        <f>HYPERLINK("https://klasma.github.io/Logging_1435/tillsynsmail/A 9276-2026 tillsynsbegäran mail.docx", "A 9276-2026")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46306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46306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46306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46306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46306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46306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46306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46306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46306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46306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46306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46306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46306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46306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46306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63333-2021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46306</v>
      </c>
      <c r="F68" t="inlineStr">
        <is>
          <t>VÄSTRA GÖTALANDS LÄN</t>
        </is>
      </c>
      <c r="G68" t="inlineStr">
        <is>
          <t>TANUM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44563</v>
      </c>
      <c r="E69" s="1" t="n">
        <v>46306</v>
      </c>
      <c r="F69" t="inlineStr">
        <is>
          <t>VÄSTRA GÖTALANDS LÄN</t>
        </is>
      </c>
      <c r="G69" t="inlineStr">
        <is>
          <t>TANUM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46306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46306</v>
      </c>
      <c r="F71" t="inlineStr">
        <is>
          <t>VÄSTRA GÖTALANDS LÄN</t>
        </is>
      </c>
      <c r="G71" t="inlineStr">
        <is>
          <t>TANUM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46306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46306</v>
      </c>
      <c r="F73" t="inlineStr">
        <is>
          <t>VÄSTRA GÖTALANDS LÄN</t>
        </is>
      </c>
      <c r="G73" t="inlineStr">
        <is>
          <t>TANUM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46306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46306</v>
      </c>
      <c r="F75" t="inlineStr">
        <is>
          <t>VÄSTRA GÖTALANDS LÄN</t>
        </is>
      </c>
      <c r="G75" t="inlineStr">
        <is>
          <t>TANUM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46306</v>
      </c>
      <c r="F76" t="inlineStr">
        <is>
          <t>VÄSTRA GÖTALANDS LÄN</t>
        </is>
      </c>
      <c r="G76" t="inlineStr">
        <is>
          <t>TANUM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46306</v>
      </c>
      <c r="F77" t="inlineStr">
        <is>
          <t>VÄSTRA GÖTALANDS LÄN</t>
        </is>
      </c>
      <c r="G77" t="inlineStr">
        <is>
          <t>TANUM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46306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46306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46306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46306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46306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46306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45374</v>
      </c>
      <c r="E84" s="1" t="n">
        <v>46306</v>
      </c>
      <c r="F84" t="inlineStr">
        <is>
          <t>VÄSTRA GÖTALANDS LÄN</t>
        </is>
      </c>
      <c r="G84" t="inlineStr">
        <is>
          <t>TANUM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46306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46306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46306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46306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46306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46306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46306</v>
      </c>
      <c r="F91" t="inlineStr">
        <is>
          <t>VÄSTRA GÖTALANDS LÄN</t>
        </is>
      </c>
      <c r="G91" t="inlineStr">
        <is>
          <t>TANUM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45252</v>
      </c>
      <c r="E92" s="1" t="n">
        <v>46306</v>
      </c>
      <c r="F92" t="inlineStr">
        <is>
          <t>VÄSTRA GÖTALANDS LÄN</t>
        </is>
      </c>
      <c r="G92" t="inlineStr">
        <is>
          <t>TANUM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46306</v>
      </c>
      <c r="F93" t="inlineStr">
        <is>
          <t>VÄSTRA GÖTALANDS LÄN</t>
        </is>
      </c>
      <c r="G93" t="inlineStr">
        <is>
          <t>TANUM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46306</v>
      </c>
      <c r="F94" t="inlineStr">
        <is>
          <t>VÄSTRA GÖTALANDS LÄN</t>
        </is>
      </c>
      <c r="G94" t="inlineStr">
        <is>
          <t>TANUM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46306</v>
      </c>
      <c r="F95" t="inlineStr">
        <is>
          <t>VÄSTRA GÖTALANDS LÄN</t>
        </is>
      </c>
      <c r="G95" t="inlineStr">
        <is>
          <t>TANUM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46306</v>
      </c>
      <c r="F96" t="inlineStr">
        <is>
          <t>VÄSTRA GÖTALANDS LÄN</t>
        </is>
      </c>
      <c r="G96" t="inlineStr">
        <is>
          <t>TANUM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46306</v>
      </c>
      <c r="F97" t="inlineStr">
        <is>
          <t>VÄSTRA GÖTALANDS LÄN</t>
        </is>
      </c>
      <c r="G97" t="inlineStr">
        <is>
          <t>TANUM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46306</v>
      </c>
      <c r="F98" t="inlineStr">
        <is>
          <t>VÄSTRA GÖTALANDS LÄN</t>
        </is>
      </c>
      <c r="G98" t="inlineStr">
        <is>
          <t>TANUM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46306</v>
      </c>
      <c r="F99" t="inlineStr">
        <is>
          <t>VÄSTRA GÖTALANDS LÄN</t>
        </is>
      </c>
      <c r="G99" t="inlineStr">
        <is>
          <t>TANUM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46306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46306</v>
      </c>
      <c r="F101" t="inlineStr">
        <is>
          <t>VÄSTRA GÖTALANDS LÄN</t>
        </is>
      </c>
      <c r="G101" t="inlineStr">
        <is>
          <t>TANUM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46306</v>
      </c>
      <c r="F102" t="inlineStr">
        <is>
          <t>VÄSTRA GÖTALANDS LÄN</t>
        </is>
      </c>
      <c r="G102" t="inlineStr">
        <is>
          <t>TANUM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46306</v>
      </c>
      <c r="F103" t="inlineStr">
        <is>
          <t>VÄSTRA GÖTALANDS LÄN</t>
        </is>
      </c>
      <c r="G103" t="inlineStr">
        <is>
          <t>TANUM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46306</v>
      </c>
      <c r="F104" t="inlineStr">
        <is>
          <t>VÄSTRA GÖTALANDS LÄN</t>
        </is>
      </c>
      <c r="G104" t="inlineStr">
        <is>
          <t>TANUM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46306</v>
      </c>
      <c r="F105" t="inlineStr">
        <is>
          <t>VÄSTRA GÖTALANDS LÄN</t>
        </is>
      </c>
      <c r="G105" t="inlineStr">
        <is>
          <t>TANUM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46306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46306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46306</v>
      </c>
      <c r="F108" t="inlineStr">
        <is>
          <t>VÄSTRA GÖTALANDS LÄN</t>
        </is>
      </c>
      <c r="G108" t="inlineStr">
        <is>
          <t>TANUM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45259</v>
      </c>
      <c r="E109" s="1" t="n">
        <v>46306</v>
      </c>
      <c r="F109" t="inlineStr">
        <is>
          <t>VÄSTRA GÖTALANDS LÄN</t>
        </is>
      </c>
      <c r="G109" t="inlineStr">
        <is>
          <t>TANUM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46306</v>
      </c>
      <c r="F110" t="inlineStr">
        <is>
          <t>VÄSTRA GÖTALANDS LÄN</t>
        </is>
      </c>
      <c r="G110" t="inlineStr">
        <is>
          <t>TANUM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44725</v>
      </c>
      <c r="E111" s="1" t="n">
        <v>46306</v>
      </c>
      <c r="F111" t="inlineStr">
        <is>
          <t>VÄSTRA GÖTALANDS LÄN</t>
        </is>
      </c>
      <c r="G111" t="inlineStr">
        <is>
          <t>TANUM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46306</v>
      </c>
      <c r="F112" t="inlineStr">
        <is>
          <t>VÄSTRA GÖTALANDS LÄN</t>
        </is>
      </c>
      <c r="G112" t="inlineStr">
        <is>
          <t>TANUM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45595</v>
      </c>
      <c r="E113" s="1" t="n">
        <v>46306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46306</v>
      </c>
      <c r="F114" t="inlineStr">
        <is>
          <t>VÄSTRA GÖTALANDS LÄN</t>
        </is>
      </c>
      <c r="G114" t="inlineStr">
        <is>
          <t>TANUM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46306</v>
      </c>
      <c r="F115" t="inlineStr">
        <is>
          <t>VÄSTRA GÖTALANDS LÄN</t>
        </is>
      </c>
      <c r="G115" t="inlineStr">
        <is>
          <t>TANUM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44490</v>
      </c>
      <c r="E116" s="1" t="n">
        <v>46306</v>
      </c>
      <c r="F116" t="inlineStr">
        <is>
          <t>VÄSTRA GÖTALANDS LÄN</t>
        </is>
      </c>
      <c r="G116" t="inlineStr">
        <is>
          <t>TANUM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46306</v>
      </c>
      <c r="F117" t="inlineStr">
        <is>
          <t>VÄSTRA GÖTALANDS LÄN</t>
        </is>
      </c>
      <c r="G117" t="inlineStr">
        <is>
          <t>TANUM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45102</v>
      </c>
      <c r="E118" s="1" t="n">
        <v>46306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46306</v>
      </c>
      <c r="F119" t="inlineStr">
        <is>
          <t>VÄSTRA GÖTALANDS LÄN</t>
        </is>
      </c>
      <c r="G119" t="inlineStr">
        <is>
          <t>TANUM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46306</v>
      </c>
      <c r="F120" t="inlineStr">
        <is>
          <t>VÄSTRA GÖTALANDS LÄN</t>
        </is>
      </c>
      <c r="G120" t="inlineStr">
        <is>
          <t>TANUM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46306</v>
      </c>
      <c r="F121" t="inlineStr">
        <is>
          <t>VÄSTRA GÖTALANDS LÄN</t>
        </is>
      </c>
      <c r="G121" t="inlineStr">
        <is>
          <t>TANUM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46306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44862</v>
      </c>
      <c r="E123" s="1" t="n">
        <v>46306</v>
      </c>
      <c r="F123" t="inlineStr">
        <is>
          <t>VÄSTRA GÖTALANDS LÄN</t>
        </is>
      </c>
      <c r="G123" t="inlineStr">
        <is>
          <t>TANUM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46306</v>
      </c>
      <c r="F124" t="inlineStr">
        <is>
          <t>VÄSTRA GÖTALANDS LÄN</t>
        </is>
      </c>
      <c r="G124" t="inlineStr">
        <is>
          <t>TANUM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46306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46306</v>
      </c>
      <c r="F126" t="inlineStr">
        <is>
          <t>VÄSTRA GÖTALANDS LÄN</t>
        </is>
      </c>
      <c r="G126" t="inlineStr">
        <is>
          <t>TANUM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46306</v>
      </c>
      <c r="F127" t="inlineStr">
        <is>
          <t>VÄSTRA GÖTALANDS LÄN</t>
        </is>
      </c>
      <c r="G127" t="inlineStr">
        <is>
          <t>TANUM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46306</v>
      </c>
      <c r="F128" t="inlineStr">
        <is>
          <t>VÄSTRA GÖTALANDS LÄN</t>
        </is>
      </c>
      <c r="G128" t="inlineStr">
        <is>
          <t>TANUM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46306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46306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46306</v>
      </c>
      <c r="F131" t="inlineStr">
        <is>
          <t>VÄSTRA GÖTALANDS LÄN</t>
        </is>
      </c>
      <c r="G131" t="inlineStr">
        <is>
          <t>TANUM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46306</v>
      </c>
      <c r="F132" t="inlineStr">
        <is>
          <t>VÄSTRA GÖTALANDS LÄN</t>
        </is>
      </c>
      <c r="G132" t="inlineStr">
        <is>
          <t>TANUM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46306</v>
      </c>
      <c r="F133" t="inlineStr">
        <is>
          <t>VÄSTRA GÖTALANDS LÄN</t>
        </is>
      </c>
      <c r="G133" t="inlineStr">
        <is>
          <t>TANUM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46306</v>
      </c>
      <c r="F134" t="inlineStr">
        <is>
          <t>VÄSTRA GÖTALANDS LÄN</t>
        </is>
      </c>
      <c r="G134" t="inlineStr">
        <is>
          <t>TANUM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46306</v>
      </c>
      <c r="F135" t="inlineStr">
        <is>
          <t>VÄSTRA GÖTALANDS LÄN</t>
        </is>
      </c>
      <c r="G135" t="inlineStr">
        <is>
          <t>TANUM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46306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46306</v>
      </c>
      <c r="F137" t="inlineStr">
        <is>
          <t>VÄSTRA GÖTALANDS LÄN</t>
        </is>
      </c>
      <c r="G137" t="inlineStr">
        <is>
          <t>TANUM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45196</v>
      </c>
      <c r="E138" s="1" t="n">
        <v>46306</v>
      </c>
      <c r="F138" t="inlineStr">
        <is>
          <t>VÄSTRA GÖTALANDS LÄN</t>
        </is>
      </c>
      <c r="G138" t="inlineStr">
        <is>
          <t>TANUM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46306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46306</v>
      </c>
      <c r="F140" t="inlineStr">
        <is>
          <t>VÄSTRA GÖTALANDS LÄN</t>
        </is>
      </c>
      <c r="G140" t="inlineStr">
        <is>
          <t>TANUM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46306</v>
      </c>
      <c r="F141" t="inlineStr">
        <is>
          <t>VÄSTRA GÖTALANDS LÄN</t>
        </is>
      </c>
      <c r="G141" t="inlineStr">
        <is>
          <t>TANUM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46306</v>
      </c>
      <c r="F142" t="inlineStr">
        <is>
          <t>VÄSTRA GÖTALANDS LÄN</t>
        </is>
      </c>
      <c r="G142" t="inlineStr">
        <is>
          <t>TANUM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46306</v>
      </c>
      <c r="F143" t="inlineStr">
        <is>
          <t>VÄSTRA GÖTALANDS LÄN</t>
        </is>
      </c>
      <c r="G143" t="inlineStr">
        <is>
          <t>TANUM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45273</v>
      </c>
      <c r="E144" s="1" t="n">
        <v>46306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46306</v>
      </c>
      <c r="F145" t="inlineStr">
        <is>
          <t>VÄSTRA GÖTALANDS LÄN</t>
        </is>
      </c>
      <c r="G145" t="inlineStr">
        <is>
          <t>TANUM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46306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44544</v>
      </c>
      <c r="E147" s="1" t="n">
        <v>46306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46306</v>
      </c>
      <c r="F148" t="inlineStr">
        <is>
          <t>VÄSTRA GÖTALANDS LÄN</t>
        </is>
      </c>
      <c r="G148" t="inlineStr">
        <is>
          <t>TANUM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46306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46306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46306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46306</v>
      </c>
      <c r="F152" t="inlineStr">
        <is>
          <t>VÄSTRA GÖTALANDS LÄN</t>
        </is>
      </c>
      <c r="G152" t="inlineStr">
        <is>
          <t>TANUM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46306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46306</v>
      </c>
      <c r="F154" t="inlineStr">
        <is>
          <t>VÄSTRA GÖTALANDS LÄN</t>
        </is>
      </c>
      <c r="G154" t="inlineStr">
        <is>
          <t>TANUM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45026</v>
      </c>
      <c r="E155" s="1" t="n">
        <v>46306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46306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46306</v>
      </c>
      <c r="F157" t="inlineStr">
        <is>
          <t>VÄSTRA GÖTALANDS LÄN</t>
        </is>
      </c>
      <c r="G157" t="inlineStr">
        <is>
          <t>TANUM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46306</v>
      </c>
      <c r="F158" t="inlineStr">
        <is>
          <t>VÄSTRA GÖTALANDS LÄN</t>
        </is>
      </c>
      <c r="G158" t="inlineStr">
        <is>
          <t>TANUM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46306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46306</v>
      </c>
      <c r="F160" t="inlineStr">
        <is>
          <t>VÄSTRA GÖTALANDS LÄN</t>
        </is>
      </c>
      <c r="G160" t="inlineStr">
        <is>
          <t>TANUM</t>
        </is>
      </c>
      <c r="H160" t="inlineStr">
        <is>
          <t>Kommuner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46306</v>
      </c>
      <c r="F161" t="inlineStr">
        <is>
          <t>VÄSTRA GÖTALANDS LÄN</t>
        </is>
      </c>
      <c r="G161" t="inlineStr">
        <is>
          <t>TANUM</t>
        </is>
      </c>
      <c r="H161" t="inlineStr">
        <is>
          <t>Kommuner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46306</v>
      </c>
      <c r="F162" t="inlineStr">
        <is>
          <t>VÄSTRA GÖTALANDS LÄN</t>
        </is>
      </c>
      <c r="G162" t="inlineStr">
        <is>
          <t>TANUM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46306</v>
      </c>
      <c r="F163" t="inlineStr">
        <is>
          <t>VÄSTRA GÖTALANDS LÄN</t>
        </is>
      </c>
      <c r="G163" t="inlineStr">
        <is>
          <t>TANUM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46306</v>
      </c>
      <c r="F164" t="inlineStr">
        <is>
          <t>VÄSTRA GÖTALANDS LÄN</t>
        </is>
      </c>
      <c r="G164" t="inlineStr">
        <is>
          <t>TANUM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46306</v>
      </c>
      <c r="F165" t="inlineStr">
        <is>
          <t>VÄSTRA GÖTALANDS LÄN</t>
        </is>
      </c>
      <c r="G165" t="inlineStr">
        <is>
          <t>TANUM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46306</v>
      </c>
      <c r="F166" t="inlineStr">
        <is>
          <t>VÄSTRA GÖTALANDS LÄN</t>
        </is>
      </c>
      <c r="G166" t="inlineStr">
        <is>
          <t>TANUM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46306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46306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46306</v>
      </c>
      <c r="F169" t="inlineStr">
        <is>
          <t>VÄSTRA GÖTALANDS LÄN</t>
        </is>
      </c>
      <c r="G169" t="inlineStr">
        <is>
          <t>TANUM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46306</v>
      </c>
      <c r="F170" t="inlineStr">
        <is>
          <t>VÄSTRA GÖTALANDS LÄN</t>
        </is>
      </c>
      <c r="G170" t="inlineStr">
        <is>
          <t>TANUM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46306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45515</v>
      </c>
      <c r="E172" s="1" t="n">
        <v>46306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46306</v>
      </c>
      <c r="F173" t="inlineStr">
        <is>
          <t>VÄSTRA GÖTALANDS LÄN</t>
        </is>
      </c>
      <c r="G173" t="inlineStr">
        <is>
          <t>TANUM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46306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45384</v>
      </c>
      <c r="E175" s="1" t="n">
        <v>46306</v>
      </c>
      <c r="F175" t="inlineStr">
        <is>
          <t>VÄSTRA GÖTALANDS LÄN</t>
        </is>
      </c>
      <c r="G175" t="inlineStr">
        <is>
          <t>TANUM</t>
        </is>
      </c>
      <c r="I175" t="n">
        <v>10.7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45384</v>
      </c>
      <c r="E176" s="1" t="n">
        <v>46306</v>
      </c>
      <c r="F176" t="inlineStr">
        <is>
          <t>VÄSTRA GÖTALANDS LÄN</t>
        </is>
      </c>
      <c r="G176" t="inlineStr">
        <is>
          <t>TANUM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46306</v>
      </c>
      <c r="F177" t="inlineStr">
        <is>
          <t>VÄSTRA GÖTALANDS LÄN</t>
        </is>
      </c>
      <c r="G177" t="inlineStr">
        <is>
          <t>TANUM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46306</v>
      </c>
      <c r="F178" t="inlineStr">
        <is>
          <t>VÄSTRA GÖTALANDS LÄN</t>
        </is>
      </c>
      <c r="G178" t="inlineStr">
        <is>
          <t>TANUM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46306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46306</v>
      </c>
      <c r="F180" t="inlineStr">
        <is>
          <t>VÄSTRA GÖTALANDS LÄN</t>
        </is>
      </c>
      <c r="G180" t="inlineStr">
        <is>
          <t>TANUM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46306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58335-2021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44488</v>
      </c>
      <c r="E182" s="1" t="n">
        <v>46306</v>
      </c>
      <c r="F182" t="inlineStr">
        <is>
          <t>VÄSTRA GÖTALANDS LÄN</t>
        </is>
      </c>
      <c r="G182" t="inlineStr">
        <is>
          <t>TANUM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46306</v>
      </c>
      <c r="F183" t="inlineStr">
        <is>
          <t>VÄSTRA GÖTALANDS LÄN</t>
        </is>
      </c>
      <c r="G183" t="inlineStr">
        <is>
          <t>TANUM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45698</v>
      </c>
      <c r="E184" s="1" t="n">
        <v>46306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46306</v>
      </c>
      <c r="F185" t="inlineStr">
        <is>
          <t>VÄSTRA GÖTALANDS LÄN</t>
        </is>
      </c>
      <c r="G185" t="inlineStr">
        <is>
          <t>TANUM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44544</v>
      </c>
      <c r="E186" s="1" t="n">
        <v>46306</v>
      </c>
      <c r="F186" t="inlineStr">
        <is>
          <t>VÄSTRA GÖTALANDS LÄN</t>
        </is>
      </c>
      <c r="G186" t="inlineStr">
        <is>
          <t>TANUM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46306</v>
      </c>
      <c r="F187" t="inlineStr">
        <is>
          <t>VÄSTRA GÖTALANDS LÄN</t>
        </is>
      </c>
      <c r="G187" t="inlineStr">
        <is>
          <t>TANUM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46306</v>
      </c>
      <c r="F188" t="inlineStr">
        <is>
          <t>VÄSTRA GÖTALANDS LÄN</t>
        </is>
      </c>
      <c r="G188" t="inlineStr">
        <is>
          <t>TANUM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45072</v>
      </c>
      <c r="E189" s="1" t="n">
        <v>46306</v>
      </c>
      <c r="F189" t="inlineStr">
        <is>
          <t>VÄSTRA GÖTALANDS LÄN</t>
        </is>
      </c>
      <c r="G189" t="inlineStr">
        <is>
          <t>TANUM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46306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46306</v>
      </c>
      <c r="F191" t="inlineStr">
        <is>
          <t>VÄSTRA GÖTALANDS LÄN</t>
        </is>
      </c>
      <c r="G191" t="inlineStr">
        <is>
          <t>TANUM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46306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46306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46306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46306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46306</v>
      </c>
      <c r="F196" t="inlineStr">
        <is>
          <t>VÄSTRA GÖTALANDS LÄN</t>
        </is>
      </c>
      <c r="G196" t="inlineStr">
        <is>
          <t>TANUM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44613</v>
      </c>
      <c r="E197" s="1" t="n">
        <v>46306</v>
      </c>
      <c r="F197" t="inlineStr">
        <is>
          <t>VÄSTRA GÖTALANDS LÄN</t>
        </is>
      </c>
      <c r="G197" t="inlineStr">
        <is>
          <t>TANUM</t>
        </is>
      </c>
      <c r="I197" t="n">
        <v>10.6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46306</v>
      </c>
      <c r="F198" t="inlineStr">
        <is>
          <t>VÄSTRA GÖTALANDS LÄN</t>
        </is>
      </c>
      <c r="G198" t="inlineStr">
        <is>
          <t>TANUM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44939</v>
      </c>
      <c r="E199" s="1" t="n">
        <v>46306</v>
      </c>
      <c r="F199" t="inlineStr">
        <is>
          <t>VÄSTRA GÖTALANDS LÄN</t>
        </is>
      </c>
      <c r="G199" t="inlineStr">
        <is>
          <t>TANUM</t>
        </is>
      </c>
      <c r="I199" t="n">
        <v>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46306</v>
      </c>
      <c r="F200" t="inlineStr">
        <is>
          <t>VÄSTRA GÖTALANDS LÄN</t>
        </is>
      </c>
      <c r="G200" t="inlineStr">
        <is>
          <t>TANUM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44591</v>
      </c>
      <c r="E201" s="1" t="n">
        <v>46306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46306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64990-2021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44514</v>
      </c>
      <c r="E203" s="1" t="n">
        <v>46306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46306</v>
      </c>
      <c r="F204" t="inlineStr">
        <is>
          <t>VÄSTRA GÖTALANDS LÄN</t>
        </is>
      </c>
      <c r="G204" t="inlineStr">
        <is>
          <t>TANUM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46306</v>
      </c>
      <c r="F205" t="inlineStr">
        <is>
          <t>VÄSTRA GÖTALANDS LÄN</t>
        </is>
      </c>
      <c r="G205" t="inlineStr">
        <is>
          <t>TANUM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45355</v>
      </c>
      <c r="E206" s="1" t="n">
        <v>46306</v>
      </c>
      <c r="F206" t="inlineStr">
        <is>
          <t>VÄSTRA GÖTALANDS LÄN</t>
        </is>
      </c>
      <c r="G206" t="inlineStr">
        <is>
          <t>TANUM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46306</v>
      </c>
      <c r="F207" t="inlineStr">
        <is>
          <t>VÄSTRA GÖTALANDS LÄN</t>
        </is>
      </c>
      <c r="G207" t="inlineStr">
        <is>
          <t>TANUM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46306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46306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46306</v>
      </c>
      <c r="F210" t="inlineStr">
        <is>
          <t>VÄSTRA GÖTALANDS LÄN</t>
        </is>
      </c>
      <c r="G210" t="inlineStr">
        <is>
          <t>TANUM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46306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46306</v>
      </c>
      <c r="F212" t="inlineStr">
        <is>
          <t>VÄSTRA GÖTALANDS LÄN</t>
        </is>
      </c>
      <c r="G212" t="inlineStr">
        <is>
          <t>TANUM</t>
        </is>
      </c>
      <c r="I212" t="n">
        <v>12.2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45571</v>
      </c>
      <c r="E213" s="1" t="n">
        <v>46306</v>
      </c>
      <c r="F213" t="inlineStr">
        <is>
          <t>VÄSTRA GÖTALANDS LÄN</t>
        </is>
      </c>
      <c r="G213" t="inlineStr">
        <is>
          <t>TANUM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68161-2021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46306</v>
      </c>
      <c r="F214" t="inlineStr">
        <is>
          <t>VÄSTRA GÖTALANDS LÄN</t>
        </is>
      </c>
      <c r="G214" t="inlineStr">
        <is>
          <t>TANUM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46306</v>
      </c>
      <c r="F215" t="inlineStr">
        <is>
          <t>VÄSTRA GÖTALANDS LÄN</t>
        </is>
      </c>
      <c r="G215" t="inlineStr">
        <is>
          <t>TANUM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46306</v>
      </c>
      <c r="F216" t="inlineStr">
        <is>
          <t>VÄSTRA GÖTALANDS LÄN</t>
        </is>
      </c>
      <c r="G216" t="inlineStr">
        <is>
          <t>TANUM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46306</v>
      </c>
      <c r="F217" t="inlineStr">
        <is>
          <t>VÄSTRA GÖTALANDS LÄN</t>
        </is>
      </c>
      <c r="G217" t="inlineStr">
        <is>
          <t>TANUM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46306</v>
      </c>
      <c r="F218" t="inlineStr">
        <is>
          <t>VÄSTRA GÖTALANDS LÄN</t>
        </is>
      </c>
      <c r="G218" t="inlineStr">
        <is>
          <t>TANUM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49687-2024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45596</v>
      </c>
      <c r="E219" s="1" t="n">
        <v>46306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46306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46306</v>
      </c>
      <c r="F221" t="inlineStr">
        <is>
          <t>VÄSTRA GÖTALANDS LÄN</t>
        </is>
      </c>
      <c r="G221" t="inlineStr">
        <is>
          <t>TANUM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45927</v>
      </c>
      <c r="E222" s="1" t="n">
        <v>46306</v>
      </c>
      <c r="F222" t="inlineStr">
        <is>
          <t>VÄSTRA GÖTALANDS LÄN</t>
        </is>
      </c>
      <c r="G222" t="inlineStr">
        <is>
          <t>TANUM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46306</v>
      </c>
      <c r="F223" t="inlineStr">
        <is>
          <t>VÄSTRA GÖTALANDS LÄN</t>
        </is>
      </c>
      <c r="G223" t="inlineStr">
        <is>
          <t>TANUM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46306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46306</v>
      </c>
      <c r="F225" t="inlineStr">
        <is>
          <t>VÄSTRA GÖTALANDS LÄN</t>
        </is>
      </c>
      <c r="G225" t="inlineStr">
        <is>
          <t>TANUM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46306</v>
      </c>
      <c r="F226" t="inlineStr">
        <is>
          <t>VÄSTRA GÖTALANDS LÄN</t>
        </is>
      </c>
      <c r="G226" t="inlineStr">
        <is>
          <t>TANUM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46306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46306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46306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46306</v>
      </c>
      <c r="F230" t="inlineStr">
        <is>
          <t>VÄSTRA GÖTALANDS LÄN</t>
        </is>
      </c>
      <c r="G230" t="inlineStr">
        <is>
          <t>TANUM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46306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44879</v>
      </c>
      <c r="E232" s="1" t="n">
        <v>46306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46306</v>
      </c>
      <c r="F233" t="inlineStr">
        <is>
          <t>VÄSTRA GÖTALANDS LÄN</t>
        </is>
      </c>
      <c r="G233" t="inlineStr">
        <is>
          <t>TANUM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46306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46306</v>
      </c>
      <c r="F235" t="inlineStr">
        <is>
          <t>VÄSTRA GÖTALANDS LÄN</t>
        </is>
      </c>
      <c r="G235" t="inlineStr">
        <is>
          <t>TANUM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46306</v>
      </c>
      <c r="F236" t="inlineStr">
        <is>
          <t>VÄSTRA GÖTALANDS LÄN</t>
        </is>
      </c>
      <c r="G236" t="inlineStr">
        <is>
          <t>TANUM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46306</v>
      </c>
      <c r="F237" t="inlineStr">
        <is>
          <t>VÄSTRA GÖTALANDS LÄN</t>
        </is>
      </c>
      <c r="G237" t="inlineStr">
        <is>
          <t>TANUM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46306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Naturvårdsverket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46306</v>
      </c>
      <c r="F239" t="inlineStr">
        <is>
          <t>VÄSTRA GÖTALANDS LÄN</t>
        </is>
      </c>
      <c r="G239" t="inlineStr">
        <is>
          <t>TANUM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46306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46306</v>
      </c>
      <c r="F241" t="inlineStr">
        <is>
          <t>VÄSTRA GÖTALANDS LÄN</t>
        </is>
      </c>
      <c r="G241" t="inlineStr">
        <is>
          <t>TANUM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44719</v>
      </c>
      <c r="E242" s="1" t="n">
        <v>46306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45935</v>
      </c>
      <c r="E243" s="1" t="n">
        <v>46306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46306</v>
      </c>
      <c r="F244" t="inlineStr">
        <is>
          <t>VÄSTRA GÖTALANDS LÄN</t>
        </is>
      </c>
      <c r="G244" t="inlineStr">
        <is>
          <t>TANUM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46306</v>
      </c>
      <c r="F245" t="inlineStr">
        <is>
          <t>VÄSTRA GÖTALANDS LÄN</t>
        </is>
      </c>
      <c r="G245" t="inlineStr">
        <is>
          <t>TANUM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46306</v>
      </c>
      <c r="F246" t="inlineStr">
        <is>
          <t>VÄSTRA GÖTALANDS LÄN</t>
        </is>
      </c>
      <c r="G246" t="inlineStr">
        <is>
          <t>TANUM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20190-2022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44698</v>
      </c>
      <c r="E247" s="1" t="n">
        <v>46306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46306</v>
      </c>
      <c r="F248" t="inlineStr">
        <is>
          <t>VÄSTRA GÖTALANDS LÄN</t>
        </is>
      </c>
      <c r="G248" t="inlineStr">
        <is>
          <t>TANUM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46306</v>
      </c>
      <c r="F249" t="inlineStr">
        <is>
          <t>VÄSTRA GÖTALANDS LÄN</t>
        </is>
      </c>
      <c r="G249" t="inlineStr">
        <is>
          <t>TANUM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46306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46306</v>
      </c>
      <c r="F251" t="inlineStr">
        <is>
          <t>VÄSTRA GÖTALANDS LÄN</t>
        </is>
      </c>
      <c r="G251" t="inlineStr">
        <is>
          <t>TANUM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46306</v>
      </c>
      <c r="F252" t="inlineStr">
        <is>
          <t>VÄSTRA GÖTALANDS LÄN</t>
        </is>
      </c>
      <c r="G252" t="inlineStr">
        <is>
          <t>TANUM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46306</v>
      </c>
      <c r="F253" t="inlineStr">
        <is>
          <t>VÄSTRA GÖTALANDS LÄN</t>
        </is>
      </c>
      <c r="G253" t="inlineStr">
        <is>
          <t>TANUM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46306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45753</v>
      </c>
      <c r="E255" s="1" t="n">
        <v>46306</v>
      </c>
      <c r="F255" t="inlineStr">
        <is>
          <t>VÄSTRA GÖTALANDS LÄN</t>
        </is>
      </c>
      <c r="G255" t="inlineStr">
        <is>
          <t>TANUM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46306</v>
      </c>
      <c r="F256" t="inlineStr">
        <is>
          <t>VÄSTRA GÖTALANDS LÄN</t>
        </is>
      </c>
      <c r="G256" t="inlineStr">
        <is>
          <t>TANUM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46306</v>
      </c>
      <c r="F257" t="inlineStr">
        <is>
          <t>VÄSTRA GÖTALANDS LÄN</t>
        </is>
      </c>
      <c r="G257" t="inlineStr">
        <is>
          <t>TANUM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46306</v>
      </c>
      <c r="F258" t="inlineStr">
        <is>
          <t>VÄSTRA GÖTALANDS LÄN</t>
        </is>
      </c>
      <c r="G258" t="inlineStr">
        <is>
          <t>TANUM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45942</v>
      </c>
      <c r="E259" s="1" t="n">
        <v>46306</v>
      </c>
      <c r="F259" t="inlineStr">
        <is>
          <t>VÄSTRA GÖTALANDS LÄN</t>
        </is>
      </c>
      <c r="G259" t="inlineStr">
        <is>
          <t>TANUM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45655</v>
      </c>
      <c r="E260" s="1" t="n">
        <v>46306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46306</v>
      </c>
      <c r="F261" t="inlineStr">
        <is>
          <t>VÄSTRA GÖTALANDS LÄN</t>
        </is>
      </c>
      <c r="G261" t="inlineStr">
        <is>
          <t>TANUM</t>
        </is>
      </c>
      <c r="H261" t="inlineStr">
        <is>
          <t>Kyrkan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46306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46306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46306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45041</v>
      </c>
      <c r="E265" s="1" t="n">
        <v>46306</v>
      </c>
      <c r="F265" t="inlineStr">
        <is>
          <t>VÄSTRA GÖTALANDS LÄN</t>
        </is>
      </c>
      <c r="G265" t="inlineStr">
        <is>
          <t>TANUM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45949</v>
      </c>
      <c r="E266" s="1" t="n">
        <v>46306</v>
      </c>
      <c r="F266" t="inlineStr">
        <is>
          <t>VÄSTRA GÖTALANDS LÄN</t>
        </is>
      </c>
      <c r="G266" t="inlineStr">
        <is>
          <t>TANUM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46306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Kyrkan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46306</v>
      </c>
      <c r="F268" t="inlineStr">
        <is>
          <t>VÄSTRA GÖTALANDS LÄN</t>
        </is>
      </c>
      <c r="G268" t="inlineStr">
        <is>
          <t>TANUM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46306</v>
      </c>
      <c r="F269" t="inlineStr">
        <is>
          <t>VÄSTRA GÖTALANDS LÄN</t>
        </is>
      </c>
      <c r="G269" t="inlineStr">
        <is>
          <t>TANUM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46306</v>
      </c>
      <c r="F270" t="inlineStr">
        <is>
          <t>VÄSTRA GÖTALANDS LÄN</t>
        </is>
      </c>
      <c r="G270" t="inlineStr">
        <is>
          <t>TANUM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46306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46306</v>
      </c>
      <c r="F272" t="inlineStr">
        <is>
          <t>VÄSTRA GÖTALANDS LÄN</t>
        </is>
      </c>
      <c r="G272" t="inlineStr">
        <is>
          <t>TANUM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46306</v>
      </c>
      <c r="F273" t="inlineStr">
        <is>
          <t>VÄSTRA GÖTALANDS LÄN</t>
        </is>
      </c>
      <c r="G273" t="inlineStr">
        <is>
          <t>TANUM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46306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46306</v>
      </c>
      <c r="F275" t="inlineStr">
        <is>
          <t>VÄSTRA GÖTALANDS LÄN</t>
        </is>
      </c>
      <c r="G275" t="inlineStr">
        <is>
          <t>TANUM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44969</v>
      </c>
      <c r="E276" s="1" t="n">
        <v>46306</v>
      </c>
      <c r="F276" t="inlineStr">
        <is>
          <t>VÄSTRA GÖTALANDS LÄN</t>
        </is>
      </c>
      <c r="G276" t="inlineStr">
        <is>
          <t>TANUM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46306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46306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46306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46306</v>
      </c>
      <c r="F280" t="inlineStr">
        <is>
          <t>VÄSTRA GÖTALANDS LÄN</t>
        </is>
      </c>
      <c r="G280" t="inlineStr">
        <is>
          <t>TANUM</t>
        </is>
      </c>
      <c r="I280" t="n">
        <v>12.9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46306</v>
      </c>
      <c r="F281" t="inlineStr">
        <is>
          <t>VÄSTRA GÖTALANDS LÄN</t>
        </is>
      </c>
      <c r="G281" t="inlineStr">
        <is>
          <t>TANUM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46306</v>
      </c>
      <c r="F282" t="inlineStr">
        <is>
          <t>VÄSTRA GÖTALANDS LÄN</t>
        </is>
      </c>
      <c r="G282" t="inlineStr">
        <is>
          <t>TANUM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46306</v>
      </c>
      <c r="F283" t="inlineStr">
        <is>
          <t>VÄSTRA GÖTALANDS LÄN</t>
        </is>
      </c>
      <c r="G283" t="inlineStr">
        <is>
          <t>TANUM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44954</v>
      </c>
      <c r="E284" s="1" t="n">
        <v>46306</v>
      </c>
      <c r="F284" t="inlineStr">
        <is>
          <t>VÄSTRA GÖTALANDS LÄN</t>
        </is>
      </c>
      <c r="G284" t="inlineStr">
        <is>
          <t>TANUM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46306</v>
      </c>
      <c r="F285" t="inlineStr">
        <is>
          <t>VÄSTRA GÖTALANDS LÄN</t>
        </is>
      </c>
      <c r="G285" t="inlineStr">
        <is>
          <t>TANUM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46306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45102</v>
      </c>
      <c r="E287" s="1" t="n">
        <v>46306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44929</v>
      </c>
      <c r="E288" s="1" t="n">
        <v>46306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46306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46306</v>
      </c>
      <c r="F290" t="inlineStr">
        <is>
          <t>VÄSTRA GÖTALANDS LÄN</t>
        </is>
      </c>
      <c r="G290" t="inlineStr">
        <is>
          <t>TANUM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45754</v>
      </c>
      <c r="E291" s="1" t="n">
        <v>46306</v>
      </c>
      <c r="F291" t="inlineStr">
        <is>
          <t>VÄSTRA GÖTALANDS LÄN</t>
        </is>
      </c>
      <c r="G291" t="inlineStr">
        <is>
          <t>TANUM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45659</v>
      </c>
      <c r="E292" s="1" t="n">
        <v>46306</v>
      </c>
      <c r="F292" t="inlineStr">
        <is>
          <t>VÄSTRA GÖTALANDS LÄN</t>
        </is>
      </c>
      <c r="G292" t="inlineStr">
        <is>
          <t>TANUM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44651</v>
      </c>
      <c r="E293" s="1" t="n">
        <v>46306</v>
      </c>
      <c r="F293" t="inlineStr">
        <is>
          <t>VÄSTRA GÖTALANDS LÄN</t>
        </is>
      </c>
      <c r="G293" t="inlineStr">
        <is>
          <t>TANUM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46306</v>
      </c>
      <c r="F294" t="inlineStr">
        <is>
          <t>VÄSTRA GÖTALANDS LÄN</t>
        </is>
      </c>
      <c r="G294" t="inlineStr">
        <is>
          <t>TANUM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46306</v>
      </c>
      <c r="F295" t="inlineStr">
        <is>
          <t>VÄSTRA GÖTALANDS LÄN</t>
        </is>
      </c>
      <c r="G295" t="inlineStr">
        <is>
          <t>TANUM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46306</v>
      </c>
      <c r="F296" t="inlineStr">
        <is>
          <t>VÄSTRA GÖTALANDS LÄN</t>
        </is>
      </c>
      <c r="G296" t="inlineStr">
        <is>
          <t>TANUM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46306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46306</v>
      </c>
      <c r="F298" t="inlineStr">
        <is>
          <t>VÄSTRA GÖTALANDS LÄN</t>
        </is>
      </c>
      <c r="G298" t="inlineStr">
        <is>
          <t>TANUM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46306</v>
      </c>
      <c r="F299" t="inlineStr">
        <is>
          <t>VÄSTRA GÖTALANDS LÄN</t>
        </is>
      </c>
      <c r="G299" t="inlineStr">
        <is>
          <t>TANUM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46306</v>
      </c>
      <c r="F300" t="inlineStr">
        <is>
          <t>VÄSTRA GÖTALANDS LÄN</t>
        </is>
      </c>
      <c r="G300" t="inlineStr">
        <is>
          <t>TANUM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44792</v>
      </c>
      <c r="E301" s="1" t="n">
        <v>46306</v>
      </c>
      <c r="F301" t="inlineStr">
        <is>
          <t>VÄSTRA GÖTALANDS LÄN</t>
        </is>
      </c>
      <c r="G301" t="inlineStr">
        <is>
          <t>TANUM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46306</v>
      </c>
      <c r="F302" t="inlineStr">
        <is>
          <t>VÄSTRA GÖTALANDS LÄN</t>
        </is>
      </c>
      <c r="G302" t="inlineStr">
        <is>
          <t>TANUM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46306</v>
      </c>
      <c r="F303" t="inlineStr">
        <is>
          <t>VÄSTRA GÖTALANDS LÄN</t>
        </is>
      </c>
      <c r="G303" t="inlineStr">
        <is>
          <t>TANUM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46306</v>
      </c>
      <c r="F304" t="inlineStr">
        <is>
          <t>VÄSTRA GÖTALANDS LÄN</t>
        </is>
      </c>
      <c r="G304" t="inlineStr">
        <is>
          <t>TANUM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46306</v>
      </c>
      <c r="F305" t="inlineStr">
        <is>
          <t>VÄSTRA GÖTALANDS LÄN</t>
        </is>
      </c>
      <c r="G305" t="inlineStr">
        <is>
          <t>TANUM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46306</v>
      </c>
      <c r="F306" t="inlineStr">
        <is>
          <t>VÄSTRA GÖTALANDS LÄN</t>
        </is>
      </c>
      <c r="G306" t="inlineStr">
        <is>
          <t>TANUM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45005</v>
      </c>
      <c r="E307" s="1" t="n">
        <v>46306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46306</v>
      </c>
      <c r="F308" t="inlineStr">
        <is>
          <t>VÄSTRA GÖTALANDS LÄN</t>
        </is>
      </c>
      <c r="G308" t="inlineStr">
        <is>
          <t>TANUM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46306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46306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46306</v>
      </c>
      <c r="F311" t="inlineStr">
        <is>
          <t>VÄSTRA GÖTALANDS LÄN</t>
        </is>
      </c>
      <c r="G311" t="inlineStr">
        <is>
          <t>TANUM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46306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46306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46306</v>
      </c>
      <c r="F314" t="inlineStr">
        <is>
          <t>VÄSTRA GÖTALANDS LÄN</t>
        </is>
      </c>
      <c r="G314" t="inlineStr">
        <is>
          <t>TANUM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46306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46306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45300</v>
      </c>
      <c r="E317" s="1" t="n">
        <v>46306</v>
      </c>
      <c r="F317" t="inlineStr">
        <is>
          <t>VÄSTRA GÖTALANDS LÄN</t>
        </is>
      </c>
      <c r="G317" t="inlineStr">
        <is>
          <t>TANUM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44799</v>
      </c>
      <c r="E318" s="1" t="n">
        <v>46306</v>
      </c>
      <c r="F318" t="inlineStr">
        <is>
          <t>VÄSTRA GÖTALANDS LÄN</t>
        </is>
      </c>
      <c r="G318" t="inlineStr">
        <is>
          <t>TANUM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45026</v>
      </c>
      <c r="E319" s="1" t="n">
        <v>46306</v>
      </c>
      <c r="F319" t="inlineStr">
        <is>
          <t>VÄSTRA GÖTALANDS LÄN</t>
        </is>
      </c>
      <c r="G319" t="inlineStr">
        <is>
          <t>TANUM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46306</v>
      </c>
      <c r="F320" t="inlineStr">
        <is>
          <t>VÄSTRA GÖTALANDS LÄN</t>
        </is>
      </c>
      <c r="G320" t="inlineStr">
        <is>
          <t>TANUM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46306</v>
      </c>
      <c r="F321" t="inlineStr">
        <is>
          <t>VÄSTRA GÖTALANDS LÄN</t>
        </is>
      </c>
      <c r="G321" t="inlineStr">
        <is>
          <t>TANUM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46306</v>
      </c>
      <c r="F322" t="inlineStr">
        <is>
          <t>VÄSTRA GÖTALANDS LÄN</t>
        </is>
      </c>
      <c r="G322" t="inlineStr">
        <is>
          <t>TANUM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44832</v>
      </c>
      <c r="E323" s="1" t="n">
        <v>46306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45872</v>
      </c>
      <c r="E324" s="1" t="n">
        <v>46306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46306</v>
      </c>
      <c r="F325" t="inlineStr">
        <is>
          <t>VÄSTRA GÖTALANDS LÄN</t>
        </is>
      </c>
      <c r="G325" t="inlineStr">
        <is>
          <t>TANUM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45874</v>
      </c>
      <c r="E326" s="1" t="n">
        <v>46306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46306</v>
      </c>
      <c r="F327" t="inlineStr">
        <is>
          <t>VÄSTRA GÖTALANDS LÄN</t>
        </is>
      </c>
      <c r="G327" t="inlineStr">
        <is>
          <t>TANUM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46306</v>
      </c>
      <c r="F328" t="inlineStr">
        <is>
          <t>VÄSTRA GÖTALANDS LÄN</t>
        </is>
      </c>
      <c r="G328" t="inlineStr">
        <is>
          <t>TANUM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46306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45709</v>
      </c>
      <c r="E330" s="1" t="n">
        <v>46306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46306</v>
      </c>
      <c r="F331" t="inlineStr">
        <is>
          <t>VÄSTRA GÖTALANDS LÄN</t>
        </is>
      </c>
      <c r="G331" t="inlineStr">
        <is>
          <t>TANUM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44807</v>
      </c>
      <c r="E332" s="1" t="n">
        <v>46306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46306</v>
      </c>
      <c r="F333" t="inlineStr">
        <is>
          <t>VÄSTRA GÖTALANDS LÄN</t>
        </is>
      </c>
      <c r="G333" t="inlineStr">
        <is>
          <t>TANUM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46306</v>
      </c>
      <c r="F334" t="inlineStr">
        <is>
          <t>VÄSTRA GÖTALANDS LÄN</t>
        </is>
      </c>
      <c r="G334" t="inlineStr">
        <is>
          <t>TANUM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46306</v>
      </c>
      <c r="F335" t="inlineStr">
        <is>
          <t>VÄSTRA GÖTALANDS LÄN</t>
        </is>
      </c>
      <c r="G335" t="inlineStr">
        <is>
          <t>TANUM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46306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46306</v>
      </c>
      <c r="F337" t="inlineStr">
        <is>
          <t>VÄSTRA GÖTALANDS LÄN</t>
        </is>
      </c>
      <c r="G337" t="inlineStr">
        <is>
          <t>TANUM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46306</v>
      </c>
      <c r="F338" t="inlineStr">
        <is>
          <t>VÄSTRA GÖTALANDS LÄN</t>
        </is>
      </c>
      <c r="G338" t="inlineStr">
        <is>
          <t>TANUM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46306</v>
      </c>
      <c r="F339" t="inlineStr">
        <is>
          <t>VÄSTRA GÖTALANDS LÄN</t>
        </is>
      </c>
      <c r="G339" t="inlineStr">
        <is>
          <t>TANUM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60624-2021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44496</v>
      </c>
      <c r="E340" s="1" t="n">
        <v>46306</v>
      </c>
      <c r="F340" t="inlineStr">
        <is>
          <t>VÄSTRA GÖTALANDS LÄN</t>
        </is>
      </c>
      <c r="G340" t="inlineStr">
        <is>
          <t>TANUM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45739</v>
      </c>
      <c r="E341" s="1" t="n">
        <v>46306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45278</v>
      </c>
      <c r="E342" s="1" t="n">
        <v>46306</v>
      </c>
      <c r="F342" t="inlineStr">
        <is>
          <t>VÄSTRA GÖTALANDS LÄN</t>
        </is>
      </c>
      <c r="G342" t="inlineStr">
        <is>
          <t>TANUM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46306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46306</v>
      </c>
      <c r="F344" t="inlineStr">
        <is>
          <t>VÄSTRA GÖTALANDS LÄN</t>
        </is>
      </c>
      <c r="G344" t="inlineStr">
        <is>
          <t>TANUM</t>
        </is>
      </c>
      <c r="H344" t="inlineStr">
        <is>
          <t>Naturvårdsverket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46100</v>
      </c>
      <c r="E345" s="1" t="n">
        <v>46306</v>
      </c>
      <c r="F345" t="inlineStr">
        <is>
          <t>VÄSTRA GÖTALANDS LÄN</t>
        </is>
      </c>
      <c r="G345" t="inlineStr">
        <is>
          <t>TANUM</t>
        </is>
      </c>
      <c r="H345" t="inlineStr">
        <is>
          <t>Sveaskog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46306</v>
      </c>
      <c r="F346" t="inlineStr">
        <is>
          <t>VÄSTRA GÖTALANDS LÄN</t>
        </is>
      </c>
      <c r="G346" t="inlineStr">
        <is>
          <t>TANUM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45628</v>
      </c>
      <c r="E347" s="1" t="n">
        <v>46306</v>
      </c>
      <c r="F347" t="inlineStr">
        <is>
          <t>VÄSTRA GÖTALANDS LÄN</t>
        </is>
      </c>
      <c r="G347" t="inlineStr">
        <is>
          <t>TANUM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46306</v>
      </c>
      <c r="F348" t="inlineStr">
        <is>
          <t>VÄSTRA GÖTALANDS LÄN</t>
        </is>
      </c>
      <c r="G348" t="inlineStr">
        <is>
          <t>TANUM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46306</v>
      </c>
      <c r="F349" t="inlineStr">
        <is>
          <t>VÄSTRA GÖTALANDS LÄN</t>
        </is>
      </c>
      <c r="G349" t="inlineStr">
        <is>
          <t>TANUM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46306</v>
      </c>
      <c r="F350" t="inlineStr">
        <is>
          <t>VÄSTRA GÖTALANDS LÄN</t>
        </is>
      </c>
      <c r="G350" t="inlineStr">
        <is>
          <t>TANUM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44834</v>
      </c>
      <c r="E351" s="1" t="n">
        <v>46306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58809-2025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45987</v>
      </c>
      <c r="E352" s="1" t="n">
        <v>46306</v>
      </c>
      <c r="F352" t="inlineStr">
        <is>
          <t>VÄSTRA GÖTALANDS LÄN</t>
        </is>
      </c>
      <c r="G352" t="inlineStr">
        <is>
          <t>TANUM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46306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45744</v>
      </c>
      <c r="E354" s="1" t="n">
        <v>46306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46306</v>
      </c>
      <c r="F355" t="inlineStr">
        <is>
          <t>VÄSTRA GÖTALANDS LÄN</t>
        </is>
      </c>
      <c r="G355" t="inlineStr">
        <is>
          <t>TANUM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44585</v>
      </c>
      <c r="E356" s="1" t="n">
        <v>46306</v>
      </c>
      <c r="F356" t="inlineStr">
        <is>
          <t>VÄSTRA GÖTALANDS LÄN</t>
        </is>
      </c>
      <c r="G356" t="inlineStr">
        <is>
          <t>TANUM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45597</v>
      </c>
      <c r="E357" s="1" t="n">
        <v>46306</v>
      </c>
      <c r="F357" t="inlineStr">
        <is>
          <t>VÄSTRA GÖTALANDS LÄN</t>
        </is>
      </c>
      <c r="G357" t="inlineStr">
        <is>
          <t>TANUM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44585</v>
      </c>
      <c r="E358" s="1" t="n">
        <v>46306</v>
      </c>
      <c r="F358" t="inlineStr">
        <is>
          <t>VÄSTRA GÖTALANDS LÄN</t>
        </is>
      </c>
      <c r="G358" t="inlineStr">
        <is>
          <t>TANUM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46306</v>
      </c>
      <c r="F359" t="inlineStr">
        <is>
          <t>VÄSTRA GÖTALANDS LÄN</t>
        </is>
      </c>
      <c r="G359" t="inlineStr">
        <is>
          <t>TANUM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44573</v>
      </c>
      <c r="E360" s="1" t="n">
        <v>46306</v>
      </c>
      <c r="F360" t="inlineStr">
        <is>
          <t>VÄSTRA GÖTALANDS LÄN</t>
        </is>
      </c>
      <c r="G360" t="inlineStr">
        <is>
          <t>TANUM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46306</v>
      </c>
      <c r="F361" t="inlineStr">
        <is>
          <t>VÄSTRA GÖTALANDS LÄN</t>
        </is>
      </c>
      <c r="G361" t="inlineStr">
        <is>
          <t>TANUM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63198-2025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46306</v>
      </c>
      <c r="F362" t="inlineStr">
        <is>
          <t>VÄSTRA GÖTALANDS LÄN</t>
        </is>
      </c>
      <c r="G362" t="inlineStr">
        <is>
          <t>TANUM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46306</v>
      </c>
      <c r="F363" t="inlineStr">
        <is>
          <t>VÄSTRA GÖTALANDS LÄN</t>
        </is>
      </c>
      <c r="G363" t="inlineStr">
        <is>
          <t>TANUM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46306</v>
      </c>
      <c r="F364" t="inlineStr">
        <is>
          <t>VÄSTRA GÖTALANDS LÄN</t>
        </is>
      </c>
      <c r="G364" t="inlineStr">
        <is>
          <t>TANUM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46306</v>
      </c>
      <c r="F365" t="inlineStr">
        <is>
          <t>VÄSTRA GÖTALANDS LÄN</t>
        </is>
      </c>
      <c r="G365" t="inlineStr">
        <is>
          <t>TANUM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46306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46306</v>
      </c>
      <c r="F367" t="inlineStr">
        <is>
          <t>VÄSTRA GÖTALANDS LÄN</t>
        </is>
      </c>
      <c r="G367" t="inlineStr">
        <is>
          <t>TANUM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46306</v>
      </c>
      <c r="F368" t="inlineStr">
        <is>
          <t>VÄSTRA GÖTALANDS LÄN</t>
        </is>
      </c>
      <c r="G368" t="inlineStr">
        <is>
          <t>TANUM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46306</v>
      </c>
      <c r="F369" t="inlineStr">
        <is>
          <t>VÄSTRA GÖTALANDS LÄN</t>
        </is>
      </c>
      <c r="G369" t="inlineStr">
        <is>
          <t>TANUM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50941-2022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44867</v>
      </c>
      <c r="E370" s="1" t="n">
        <v>46306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46306</v>
      </c>
      <c r="F371" t="inlineStr">
        <is>
          <t>VÄSTRA GÖTALANDS LÄN</t>
        </is>
      </c>
      <c r="G371" t="inlineStr">
        <is>
          <t>TANUM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46306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46306</v>
      </c>
      <c r="F373" t="inlineStr">
        <is>
          <t>VÄSTRA GÖTALANDS LÄN</t>
        </is>
      </c>
      <c r="G373" t="inlineStr">
        <is>
          <t>TANUM</t>
        </is>
      </c>
      <c r="I373" t="n">
        <v>19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46306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45286</v>
      </c>
      <c r="E375" s="1" t="n">
        <v>46306</v>
      </c>
      <c r="F375" t="inlineStr">
        <is>
          <t>VÄSTRA GÖTALANDS LÄN</t>
        </is>
      </c>
      <c r="G375" t="inlineStr">
        <is>
          <t>TANUM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45544</v>
      </c>
      <c r="E376" s="1" t="n">
        <v>46306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46306</v>
      </c>
      <c r="F377" t="inlineStr">
        <is>
          <t>VÄSTRA GÖTALANDS LÄN</t>
        </is>
      </c>
      <c r="G377" t="inlineStr">
        <is>
          <t>TANUM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46306</v>
      </c>
      <c r="F378" t="inlineStr">
        <is>
          <t>VÄSTRA GÖTALANDS LÄN</t>
        </is>
      </c>
      <c r="G378" t="inlineStr">
        <is>
          <t>TANUM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46306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46306</v>
      </c>
      <c r="F380" t="inlineStr">
        <is>
          <t>VÄSTRA GÖTALANDS LÄN</t>
        </is>
      </c>
      <c r="G380" t="inlineStr">
        <is>
          <t>TANUM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46306</v>
      </c>
      <c r="F381" t="inlineStr">
        <is>
          <t>VÄSTRA GÖTALANDS LÄN</t>
        </is>
      </c>
      <c r="G381" t="inlineStr">
        <is>
          <t>TANUM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46306</v>
      </c>
      <c r="F382" t="inlineStr">
        <is>
          <t>VÄSTRA GÖTALANDS LÄN</t>
        </is>
      </c>
      <c r="G382" t="inlineStr">
        <is>
          <t>TANUM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46306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45872</v>
      </c>
      <c r="E384" s="1" t="n">
        <v>46306</v>
      </c>
      <c r="F384" t="inlineStr">
        <is>
          <t>VÄSTRA GÖTALANDS LÄN</t>
        </is>
      </c>
      <c r="G384" t="inlineStr">
        <is>
          <t>TANUM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46031</v>
      </c>
      <c r="E385" s="1" t="n">
        <v>46306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Kommuner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46306</v>
      </c>
      <c r="F386" t="inlineStr">
        <is>
          <t>VÄSTRA GÖTALANDS LÄN</t>
        </is>
      </c>
      <c r="G386" t="inlineStr">
        <is>
          <t>TANUM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46306</v>
      </c>
      <c r="F387" t="inlineStr">
        <is>
          <t>VÄSTRA GÖTALANDS LÄN</t>
        </is>
      </c>
      <c r="G387" t="inlineStr">
        <is>
          <t>TANUM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46306</v>
      </c>
      <c r="F388" t="inlineStr">
        <is>
          <t>VÄSTRA GÖTALANDS LÄN</t>
        </is>
      </c>
      <c r="G388" t="inlineStr">
        <is>
          <t>TANUM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45387</v>
      </c>
      <c r="E389" s="1" t="n">
        <v>46306</v>
      </c>
      <c r="F389" t="inlineStr">
        <is>
          <t>VÄSTRA GÖTALANDS LÄN</t>
        </is>
      </c>
      <c r="G389" t="inlineStr">
        <is>
          <t>TANUM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44944</v>
      </c>
      <c r="E390" s="1" t="n">
        <v>46306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63326-2021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44506</v>
      </c>
      <c r="E391" s="1" t="n">
        <v>46306</v>
      </c>
      <c r="F391" t="inlineStr">
        <is>
          <t>VÄSTRA GÖTALANDS LÄN</t>
        </is>
      </c>
      <c r="G391" t="inlineStr">
        <is>
          <t>TANUM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46306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46306</v>
      </c>
      <c r="F393" t="inlineStr">
        <is>
          <t>VÄSTRA GÖTALANDS LÄN</t>
        </is>
      </c>
      <c r="G393" t="inlineStr">
        <is>
          <t>TANUM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46306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46306</v>
      </c>
      <c r="F395" t="inlineStr">
        <is>
          <t>VÄSTRA GÖTALANDS LÄN</t>
        </is>
      </c>
      <c r="G395" t="inlineStr">
        <is>
          <t>TANUM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46306</v>
      </c>
      <c r="F396" t="inlineStr">
        <is>
          <t>VÄSTRA GÖTALANDS LÄN</t>
        </is>
      </c>
      <c r="G396" t="inlineStr">
        <is>
          <t>TANUM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46306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46039</v>
      </c>
      <c r="E398" s="1" t="n">
        <v>46306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46306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45987</v>
      </c>
      <c r="E400" s="1" t="n">
        <v>46306</v>
      </c>
      <c r="F400" t="inlineStr">
        <is>
          <t>VÄSTRA GÖTALANDS LÄN</t>
        </is>
      </c>
      <c r="G400" t="inlineStr">
        <is>
          <t>TANUM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46306</v>
      </c>
      <c r="F401" t="inlineStr">
        <is>
          <t>VÄSTRA GÖTALANDS LÄN</t>
        </is>
      </c>
      <c r="G401" t="inlineStr">
        <is>
          <t>TANUM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46306</v>
      </c>
      <c r="F402" t="inlineStr">
        <is>
          <t>VÄSTRA GÖTALANDS LÄN</t>
        </is>
      </c>
      <c r="G402" t="inlineStr">
        <is>
          <t>TANUM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46306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46306</v>
      </c>
      <c r="F404" t="inlineStr">
        <is>
          <t>VÄSTRA GÖTALANDS LÄN</t>
        </is>
      </c>
      <c r="G404" t="inlineStr">
        <is>
          <t>TANUM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46306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46306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46306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46306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46306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45369</v>
      </c>
      <c r="E410" s="1" t="n">
        <v>46306</v>
      </c>
      <c r="F410" t="inlineStr">
        <is>
          <t>VÄSTRA GÖTALANDS LÄN</t>
        </is>
      </c>
      <c r="G410" t="inlineStr">
        <is>
          <t>TANUM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45311</v>
      </c>
      <c r="E411" s="1" t="n">
        <v>46306</v>
      </c>
      <c r="F411" t="inlineStr">
        <is>
          <t>VÄSTRA GÖTALANDS LÄN</t>
        </is>
      </c>
      <c r="G411" t="inlineStr">
        <is>
          <t>TANUM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45599</v>
      </c>
      <c r="E412" s="1" t="n">
        <v>46306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46306</v>
      </c>
      <c r="F413" t="inlineStr">
        <is>
          <t>VÄSTRA GÖTALANDS LÄN</t>
        </is>
      </c>
      <c r="G413" t="inlineStr">
        <is>
          <t>TANUM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46306</v>
      </c>
      <c r="F414" t="inlineStr">
        <is>
          <t>VÄSTRA GÖTALANDS LÄN</t>
        </is>
      </c>
      <c r="G414" t="inlineStr">
        <is>
          <t>TANUM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46306</v>
      </c>
      <c r="F415" t="inlineStr">
        <is>
          <t>VÄSTRA GÖTALANDS LÄN</t>
        </is>
      </c>
      <c r="G415" t="inlineStr">
        <is>
          <t>TANUM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46306</v>
      </c>
      <c r="F416" t="inlineStr">
        <is>
          <t>VÄSTRA GÖTALANDS LÄN</t>
        </is>
      </c>
      <c r="G416" t="inlineStr">
        <is>
          <t>TANUM</t>
        </is>
      </c>
      <c r="H416" t="inlineStr">
        <is>
          <t>Kyrkan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46306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46306</v>
      </c>
      <c r="F418" t="inlineStr">
        <is>
          <t>VÄSTRA GÖTALANDS LÄN</t>
        </is>
      </c>
      <c r="G418" t="inlineStr">
        <is>
          <t>TANUM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46306</v>
      </c>
      <c r="F419" t="inlineStr">
        <is>
          <t>VÄSTRA GÖTALANDS LÄN</t>
        </is>
      </c>
      <c r="G419" t="inlineStr">
        <is>
          <t>TANUM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46306</v>
      </c>
      <c r="F420" t="inlineStr">
        <is>
          <t>VÄSTRA GÖTALANDS LÄN</t>
        </is>
      </c>
      <c r="G420" t="inlineStr">
        <is>
          <t>TANUM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46306</v>
      </c>
      <c r="F421" t="inlineStr">
        <is>
          <t>VÄSTRA GÖTALANDS LÄN</t>
        </is>
      </c>
      <c r="G421" t="inlineStr">
        <is>
          <t>TANUM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46306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11809-2026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46085</v>
      </c>
      <c r="E423" s="1" t="n">
        <v>46306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46306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46306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46306</v>
      </c>
      <c r="F426" t="inlineStr">
        <is>
          <t>VÄSTRA GÖTALANDS LÄN</t>
        </is>
      </c>
      <c r="G426" t="inlineStr">
        <is>
          <t>TANUM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46306</v>
      </c>
      <c r="F427" t="inlineStr">
        <is>
          <t>VÄSTRA GÖTALANDS LÄN</t>
        </is>
      </c>
      <c r="G427" t="inlineStr">
        <is>
          <t>TANUM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46306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30322-2026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46207</v>
      </c>
      <c r="E429" s="1" t="n">
        <v>46306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18882-2026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46306</v>
      </c>
      <c r="F430" t="inlineStr">
        <is>
          <t>VÄSTRA GÖTALANDS LÄN</t>
        </is>
      </c>
      <c r="G430" t="inlineStr">
        <is>
          <t>TANUM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46306</v>
      </c>
      <c r="F431" t="inlineStr">
        <is>
          <t>VÄSTRA GÖTALANDS LÄN</t>
        </is>
      </c>
      <c r="G431" t="inlineStr">
        <is>
          <t>TANUM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46177</v>
      </c>
      <c r="E432" s="1" t="n">
        <v>46306</v>
      </c>
      <c r="F432" t="inlineStr">
        <is>
          <t>VÄSTRA GÖTALANDS LÄN</t>
        </is>
      </c>
      <c r="G432" t="inlineStr">
        <is>
          <t>TANUM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46306</v>
      </c>
      <c r="F433" t="inlineStr">
        <is>
          <t>VÄSTRA GÖTALANDS LÄN</t>
        </is>
      </c>
      <c r="G433" t="inlineStr">
        <is>
          <t>TANUM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46306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46306</v>
      </c>
      <c r="F435" t="inlineStr">
        <is>
          <t>VÄSTRA GÖTALANDS LÄN</t>
        </is>
      </c>
      <c r="G435" t="inlineStr">
        <is>
          <t>TANUM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46306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46306</v>
      </c>
      <c r="F437" t="inlineStr">
        <is>
          <t>VÄSTRA GÖTALANDS LÄN</t>
        </is>
      </c>
      <c r="G437" t="inlineStr">
        <is>
          <t>TANUM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45371</v>
      </c>
      <c r="E438" s="1" t="n">
        <v>46306</v>
      </c>
      <c r="F438" t="inlineStr">
        <is>
          <t>VÄSTRA GÖTALANDS LÄN</t>
        </is>
      </c>
      <c r="G438" t="inlineStr">
        <is>
          <t>TANUM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46306</v>
      </c>
      <c r="F439" t="inlineStr">
        <is>
          <t>VÄSTRA GÖTALANDS LÄN</t>
        </is>
      </c>
      <c r="G439" t="inlineStr">
        <is>
          <t>TANUM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46306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46306</v>
      </c>
      <c r="F441" t="inlineStr">
        <is>
          <t>VÄSTRA GÖTALANDS LÄN</t>
        </is>
      </c>
      <c r="G441" t="inlineStr">
        <is>
          <t>TANUM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46306</v>
      </c>
      <c r="F442" t="inlineStr">
        <is>
          <t>VÄSTRA GÖTALANDS LÄN</t>
        </is>
      </c>
      <c r="G442" t="inlineStr">
        <is>
          <t>TANUM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46306</v>
      </c>
      <c r="F443" t="inlineStr">
        <is>
          <t>VÄSTRA GÖTALANDS LÄN</t>
        </is>
      </c>
      <c r="G443" t="inlineStr">
        <is>
          <t>TANUM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46306</v>
      </c>
      <c r="F444" t="inlineStr">
        <is>
          <t>VÄSTRA GÖTALANDS LÄN</t>
        </is>
      </c>
      <c r="G444" t="inlineStr">
        <is>
          <t>TANUM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46306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46306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46306</v>
      </c>
      <c r="F447" t="inlineStr">
        <is>
          <t>VÄSTRA GÖTALANDS LÄN</t>
        </is>
      </c>
      <c r="G447" t="inlineStr">
        <is>
          <t>TANUM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46306</v>
      </c>
      <c r="F448" t="inlineStr">
        <is>
          <t>VÄSTRA GÖTALANDS LÄN</t>
        </is>
      </c>
      <c r="G448" t="inlineStr">
        <is>
          <t>TANUM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46231</v>
      </c>
      <c r="E449" s="1" t="n">
        <v>46306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46306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31968-2026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46231</v>
      </c>
      <c r="E451" s="1" t="n">
        <v>46306</v>
      </c>
      <c r="F451" t="inlineStr">
        <is>
          <t>VÄSTRA GÖTALANDS LÄN</t>
        </is>
      </c>
      <c r="G451" t="inlineStr">
        <is>
          <t>TANUM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46306</v>
      </c>
      <c r="F452" t="inlineStr">
        <is>
          <t>VÄSTRA GÖTALANDS LÄN</t>
        </is>
      </c>
      <c r="G452" t="inlineStr">
        <is>
          <t>TANUM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46306</v>
      </c>
      <c r="F453" t="inlineStr">
        <is>
          <t>VÄSTRA GÖTALANDS LÄN</t>
        </is>
      </c>
      <c r="G453" t="inlineStr">
        <is>
          <t>TANUM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46276</v>
      </c>
      <c r="E454" s="1" t="n">
        <v>46306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46306</v>
      </c>
      <c r="F455" t="inlineStr">
        <is>
          <t>VÄSTRA GÖTALANDS LÄN</t>
        </is>
      </c>
      <c r="G455" t="inlineStr">
        <is>
          <t>TANUM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46306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46306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46306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46286</v>
      </c>
      <c r="E459" s="1" t="n">
        <v>46306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46306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46306</v>
      </c>
      <c r="F461" t="inlineStr">
        <is>
          <t>VÄSTRA GÖTALANDS LÄN</t>
        </is>
      </c>
      <c r="G461" t="inlineStr">
        <is>
          <t>TANUM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46287</v>
      </c>
      <c r="E462" s="1" t="n">
        <v>46306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46306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39975-2026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46292</v>
      </c>
      <c r="E464" s="1" t="n">
        <v>46306</v>
      </c>
      <c r="F464" t="inlineStr">
        <is>
          <t>VÄSTRA GÖTALANDS LÄN</t>
        </is>
      </c>
      <c r="G464" t="inlineStr">
        <is>
          <t>TANUM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46306</v>
      </c>
      <c r="F465" t="inlineStr">
        <is>
          <t>VÄSTRA GÖTALANDS LÄN</t>
        </is>
      </c>
      <c r="G465" t="inlineStr">
        <is>
          <t>TANUM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46306</v>
      </c>
      <c r="F466" t="inlineStr">
        <is>
          <t>VÄSTRA GÖTALANDS LÄN</t>
        </is>
      </c>
      <c r="G466" t="inlineStr">
        <is>
          <t>TANUM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46306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46306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41249-2026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46306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46306</v>
      </c>
      <c r="F470" t="inlineStr">
        <is>
          <t>VÄSTRA GÖTALANDS LÄN</t>
        </is>
      </c>
      <c r="G470" t="inlineStr">
        <is>
          <t>TANUM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46258</v>
      </c>
      <c r="E471" s="1" t="n">
        <v>46306</v>
      </c>
      <c r="F471" t="inlineStr">
        <is>
          <t>VÄSTRA GÖTALANDS LÄN</t>
        </is>
      </c>
      <c r="G471" t="inlineStr">
        <is>
          <t>TANUM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46306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46306</v>
      </c>
      <c r="F473" t="inlineStr">
        <is>
          <t>VÄSTRA GÖTALANDS LÄN</t>
        </is>
      </c>
      <c r="G473" t="inlineStr">
        <is>
          <t>TANUM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46306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46306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46306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46306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46306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46306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2026-10-11T02:07:21Z</dcterms:created>
  <dcterms:modified xmlns:dcterms="http://purl.org/dc/terms/" xmlns:xsi="http://www.w3.org/2001/XMLSchema-instance" xsi:type="dcterms:W3CDTF">2026-10-11T02:07:22Z</dcterms:modified>
</cp:coreProperties>
</file>