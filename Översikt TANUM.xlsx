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S 8060-2021</t>
        </is>
      </c>
      <c r="B2" t="inlineStr">
        <is>
          <t>samrådsanmälan</t>
        </is>
      </c>
      <c r="C2" t="inlineStr">
        <is>
          <t>Annan skogsbruksåtgärd</t>
        </is>
      </c>
      <c r="D2" s="1" t="n">
        <v>44488</v>
      </c>
      <c r="E2" s="1" t="n">
        <v>46312</v>
      </c>
      <c r="F2" t="inlineStr">
        <is>
          <t>VÄSTRA GÖTALANDS LÄN</t>
        </is>
      </c>
      <c r="G2" t="inlineStr">
        <is>
          <t>TANUM</t>
        </is>
      </c>
      <c r="I2" t="n">
        <v>17.8</v>
      </c>
      <c r="J2" t="n">
        <v>6</v>
      </c>
      <c r="K2" t="n">
        <v>2</v>
      </c>
      <c r="L2" t="n">
        <v>7</v>
      </c>
      <c r="M2" t="n">
        <v>2</v>
      </c>
      <c r="N2" t="n">
        <v>2</v>
      </c>
      <c r="O2" t="n">
        <v>0</v>
      </c>
      <c r="P2" t="n">
        <v>0</v>
      </c>
      <c r="Q2" t="n">
        <v>11</v>
      </c>
      <c r="R2" t="n">
        <v>4</v>
      </c>
      <c r="S2" t="n">
        <v>14</v>
      </c>
      <c r="T2" t="n">
        <v>15</v>
      </c>
      <c r="U2" t="n">
        <v>13</v>
      </c>
      <c r="V2" s="2" t="inlineStr">
        <is>
          <t>Ejder
Kattmynta
Rödsäv
Vit kattost
Bolmört
Entita
Jungfrulin
Mindre hackspett
Saltstarr
Slåtterfibbla
Svinrot
Purpurknipprot
Stor revmossa
Blåsippa</t>
        </is>
      </c>
      <c r="W2">
        <f>HYPERLINK("https://klasma.github.io/Logging_1435/artfynd/S 8060-2021 artfynd.xlsx", "S 8060-2021")</f>
        <v/>
      </c>
      <c r="X2">
        <f>HYPERLINK("https://klasma.github.io/Logging_1435/kartor/S 8060-2021 karta.png", "S 8060-2021")</f>
        <v/>
      </c>
      <c r="Y2">
        <f>HYPERLINK("https://klasma.github.io/Logging_1435/kartor_geotiff/S 8060-2021 georefererad karta.tif", "S 8060-2021")</f>
        <v/>
      </c>
      <c r="AA2">
        <f>HYPERLINK("https://klasma.github.io/Logging_1435/klagomål/S 8060-2021 FSC-klagomål.docx", "S 8060-2021")</f>
        <v/>
      </c>
      <c r="AB2">
        <f>HYPERLINK("https://klasma.github.io/Logging_1435/klagomålsmail/S 8060-2021 FSC-klagomål mail.docx", "S 8060-2021")</f>
        <v/>
      </c>
      <c r="AC2">
        <f>HYPERLINK("https://klasma.github.io/Logging_1435/tillsyn/S 8060-2021 tillsynsbegäran.docx", "S 8060-2021")</f>
        <v/>
      </c>
      <c r="AD2">
        <f>HYPERLINK("https://klasma.github.io/Logging_1435/tillsynsmail/S 8060-2021 tillsynsbegäran mail.docx", "S 8060-2021")</f>
        <v/>
      </c>
      <c r="AE2">
        <f>HYPERLINK("https://klasma.github.io/Logging_1435/fåglar/S 8060-2021 prioriterade fågelarter.docx", "S 8060-2021")</f>
        <v/>
      </c>
    </row>
    <row r="3" ht="15" customHeight="1">
      <c r="A3" t="inlineStr">
        <is>
          <t>A 52265-2023</t>
        </is>
      </c>
      <c r="B3" t="inlineStr">
        <is>
          <t>avverkningsanmälan</t>
        </is>
      </c>
      <c r="C3" t="inlineStr">
        <is>
          <t>Föryngringsavverkning</t>
        </is>
      </c>
      <c r="D3" s="1" t="n">
        <v>45217</v>
      </c>
      <c r="E3" s="1" t="n">
        <v>46312</v>
      </c>
      <c r="F3" t="inlineStr">
        <is>
          <t>VÄSTRA GÖTALANDS LÄN</t>
        </is>
      </c>
      <c r="G3" t="inlineStr">
        <is>
          <t>TANUM</t>
        </is>
      </c>
      <c r="I3" t="n">
        <v>29.1</v>
      </c>
      <c r="J3" t="n">
        <v>3</v>
      </c>
      <c r="K3" t="n">
        <v>6</v>
      </c>
      <c r="L3" t="n">
        <v>3</v>
      </c>
      <c r="M3" t="n">
        <v>0</v>
      </c>
      <c r="N3" t="n">
        <v>0</v>
      </c>
      <c r="O3" t="n">
        <v>0</v>
      </c>
      <c r="P3" t="n">
        <v>0</v>
      </c>
      <c r="Q3" t="n">
        <v>3</v>
      </c>
      <c r="R3" t="n">
        <v>0</v>
      </c>
      <c r="S3" t="n">
        <v>11</v>
      </c>
      <c r="T3" t="n">
        <v>52</v>
      </c>
      <c r="U3" t="n">
        <v>49</v>
      </c>
      <c r="V3" s="2" t="inlineStr">
        <is>
          <t>Motaggsvamp
Svinrot
Tretåig hackspett
Blåmossa
Grovticka
Klippfrullania
Stor aspticka
Stor revmossa
Västlig hakmossa
Blåsippa
Spillkråka</t>
        </is>
      </c>
      <c r="W3">
        <f>HYPERLINK("https://klasma.github.io/Logging_1435/artfynd/A 52265-2023 artfynd.xlsx", "A 52265-2023")</f>
        <v/>
      </c>
      <c r="X3">
        <f>HYPERLINK("https://klasma.github.io/Logging_1435/kartor/A 52265-2023 karta.png", "A 52265-2023")</f>
        <v/>
      </c>
      <c r="Y3">
        <f>HYPERLINK("https://klasma.github.io/Logging_1435/kartor_geotiff/A 52265-2023 georefererad karta.tif", "A 52265-2023")</f>
        <v/>
      </c>
      <c r="AA3">
        <f>HYPERLINK("https://klasma.github.io/Logging_1435/klagomål/A 52265-2023 FSC-klagomål.docx", "A 52265-2023")</f>
        <v/>
      </c>
      <c r="AB3">
        <f>HYPERLINK("https://klasma.github.io/Logging_1435/klagomålsmail/A 52265-2023 FSC-klagomål mail.docx", "A 52265-2023")</f>
        <v/>
      </c>
      <c r="AC3">
        <f>HYPERLINK("https://klasma.github.io/Logging_1435/tillsyn/A 52265-2023 tillsynsbegäran.docx", "A 52265-2023")</f>
        <v/>
      </c>
      <c r="AD3">
        <f>HYPERLINK("https://klasma.github.io/Logging_1435/tillsynsmail/A 52265-2023 tillsynsbegäran mail.docx", "A 52265-2023")</f>
        <v/>
      </c>
      <c r="AE3">
        <f>HYPERLINK("https://klasma.github.io/Logging_1435/fåglar/A 52265-2023 prioriterade fågelarter.docx", "A 52265-2023")</f>
        <v/>
      </c>
    </row>
    <row r="4" ht="15" customHeight="1">
      <c r="A4" t="inlineStr">
        <is>
          <t>A 35310-2024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45530</v>
      </c>
      <c r="E4" s="1" t="n">
        <v>46312</v>
      </c>
      <c r="F4" t="inlineStr">
        <is>
          <t>VÄSTRA GÖTALANDS LÄN</t>
        </is>
      </c>
      <c r="G4" t="inlineStr">
        <is>
          <t>TANUM</t>
        </is>
      </c>
      <c r="I4" t="n">
        <v>2.1</v>
      </c>
      <c r="J4" t="n">
        <v>5</v>
      </c>
      <c r="K4" t="n">
        <v>6</v>
      </c>
      <c r="L4" t="n">
        <v>2</v>
      </c>
      <c r="M4" t="n">
        <v>1</v>
      </c>
      <c r="N4" t="n">
        <v>0</v>
      </c>
      <c r="O4" t="n">
        <v>0</v>
      </c>
      <c r="P4" t="n">
        <v>0</v>
      </c>
      <c r="Q4" t="n">
        <v>3</v>
      </c>
      <c r="R4" t="n">
        <v>1</v>
      </c>
      <c r="S4" t="n">
        <v>11</v>
      </c>
      <c r="T4" t="n">
        <v>26</v>
      </c>
      <c r="U4" t="n">
        <v>24</v>
      </c>
      <c r="V4" s="2" t="inlineStr">
        <is>
          <t>Knärot
Talltita
Tretåig hackspett
Blåmossa
Bronshjon
Korallblylav
Rävticka
Stor revmossa
Vågbandad barkbock
Spillkråka
Tjäder</t>
        </is>
      </c>
      <c r="W4">
        <f>HYPERLINK("https://klasma.github.io/Logging_1435/artfynd/A 35310-2024 artfynd.xlsx", "A 35310-2024")</f>
        <v/>
      </c>
      <c r="X4">
        <f>HYPERLINK("https://klasma.github.io/Logging_1435/kartor/A 35310-2024 karta.png", "A 35310-2024")</f>
        <v/>
      </c>
      <c r="Y4">
        <f>HYPERLINK("https://klasma.github.io/Logging_1435/kartor_geotiff/A 35310-2024 georefererad karta.tif", "A 35310-2024")</f>
        <v/>
      </c>
      <c r="Z4">
        <f>HYPERLINK("https://klasma.github.io/Logging_1435/knärot/A 35310-2024 karta knärot.png", "A 35310-2024")</f>
        <v/>
      </c>
      <c r="AA4">
        <f>HYPERLINK("https://klasma.github.io/Logging_1435/klagomål/A 35310-2024 FSC-klagomål.docx", "A 35310-2024")</f>
        <v/>
      </c>
      <c r="AB4">
        <f>HYPERLINK("https://klasma.github.io/Logging_1435/klagomålsmail/A 35310-2024 FSC-klagomål mail.docx", "A 35310-2024")</f>
        <v/>
      </c>
      <c r="AC4">
        <f>HYPERLINK("https://klasma.github.io/Logging_1435/tillsyn/A 35310-2024 tillsynsbegäran.docx", "A 35310-2024")</f>
        <v/>
      </c>
      <c r="AD4">
        <f>HYPERLINK("https://klasma.github.io/Logging_1435/tillsynsmail/A 35310-2024 tillsynsbegäran mail.docx", "A 35310-2024")</f>
        <v/>
      </c>
      <c r="AE4">
        <f>HYPERLINK("https://klasma.github.io/Logging_1435/fåglar/A 35310-2024 prioriterade fågelarter.docx", "A 35310-2024")</f>
        <v/>
      </c>
    </row>
    <row r="5" ht="15" customHeight="1">
      <c r="A5" t="inlineStr">
        <is>
          <t>A 37370-2023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45156</v>
      </c>
      <c r="E5" s="1" t="n">
        <v>46312</v>
      </c>
      <c r="F5" t="inlineStr">
        <is>
          <t>VÄSTRA GÖTALANDS LÄN</t>
        </is>
      </c>
      <c r="G5" t="inlineStr">
        <is>
          <t>TANUM</t>
        </is>
      </c>
      <c r="I5" t="n">
        <v>14.5</v>
      </c>
      <c r="J5" t="n">
        <v>3</v>
      </c>
      <c r="K5" t="n">
        <v>0</v>
      </c>
      <c r="L5" t="n">
        <v>5</v>
      </c>
      <c r="M5" t="n">
        <v>2</v>
      </c>
      <c r="N5" t="n">
        <v>1</v>
      </c>
      <c r="O5" t="n">
        <v>0</v>
      </c>
      <c r="P5" t="n">
        <v>0</v>
      </c>
      <c r="Q5" t="n">
        <v>8</v>
      </c>
      <c r="R5" t="n">
        <v>3</v>
      </c>
      <c r="S5" t="n">
        <v>10</v>
      </c>
      <c r="T5" t="n">
        <v>10</v>
      </c>
      <c r="U5" t="n">
        <v>0</v>
      </c>
      <c r="V5" s="2" t="inlineStr">
        <is>
          <t>Råglosta
Bredgentiana
Slåttergubbe
Granspira
Jungfrulin
Slåtterfibbla
Svinrot
Vårstarr
Fläcknycklar
Lopplummer (aggregat)</t>
        </is>
      </c>
      <c r="W5">
        <f>HYPERLINK("https://klasma.github.io/Logging_1435/artfynd/A 37370-2023 artfynd.xlsx", "A 37370-2023")</f>
        <v/>
      </c>
      <c r="X5">
        <f>HYPERLINK("https://klasma.github.io/Logging_1435/kartor/A 37370-2023 karta.png", "A 37370-2023")</f>
        <v/>
      </c>
      <c r="Y5">
        <f>HYPERLINK("https://klasma.github.io/Logging_1435/kartor_geotiff/A 37370-2023 georefererad karta.tif", "A 37370-2023")</f>
        <v/>
      </c>
      <c r="AA5">
        <f>HYPERLINK("https://klasma.github.io/Logging_1435/klagomål/A 37370-2023 FSC-klagomål.docx", "A 37370-2023")</f>
        <v/>
      </c>
      <c r="AB5">
        <f>HYPERLINK("https://klasma.github.io/Logging_1435/klagomålsmail/A 37370-2023 FSC-klagomål mail.docx", "A 37370-2023")</f>
        <v/>
      </c>
      <c r="AC5">
        <f>HYPERLINK("https://klasma.github.io/Logging_1435/tillsyn/A 37370-2023 tillsynsbegäran.docx", "A 37370-2023")</f>
        <v/>
      </c>
      <c r="AD5">
        <f>HYPERLINK("https://klasma.github.io/Logging_1435/tillsynsmail/A 37370-2023 tillsynsbegäran mail.docx", "A 37370-2023")</f>
        <v/>
      </c>
    </row>
    <row r="6" ht="15" customHeight="1">
      <c r="A6" t="inlineStr">
        <is>
          <t>A 24984-2025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45799</v>
      </c>
      <c r="E6" s="1" t="n">
        <v>46312</v>
      </c>
      <c r="F6" t="inlineStr">
        <is>
          <t>VÄSTRA GÖTALANDS LÄN</t>
        </is>
      </c>
      <c r="G6" t="inlineStr">
        <is>
          <t>TANUM</t>
        </is>
      </c>
      <c r="I6" t="n">
        <v>1.2</v>
      </c>
      <c r="J6" t="n">
        <v>4</v>
      </c>
      <c r="K6" t="n">
        <v>5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2</v>
      </c>
      <c r="R6" t="n">
        <v>1</v>
      </c>
      <c r="S6" t="n">
        <v>9</v>
      </c>
      <c r="T6" t="n">
        <v>13</v>
      </c>
      <c r="U6" t="n">
        <v>1</v>
      </c>
      <c r="V6" s="2" t="inlineStr">
        <is>
          <t>Knärot
Tretåig hackspett
Bronshjon
Korallblylav
Rävticka
Stor revmossa
Vågbandad barkbock
Spillkråka
Tjäder</t>
        </is>
      </c>
      <c r="W6">
        <f>HYPERLINK("https://klasma.github.io/Logging_1435/artfynd/A 24984-2025 artfynd.xlsx", "A 24984-2025")</f>
        <v/>
      </c>
      <c r="X6">
        <f>HYPERLINK("https://klasma.github.io/Logging_1435/kartor/A 24984-2025 karta.png", "A 24984-2025")</f>
        <v/>
      </c>
      <c r="Y6">
        <f>HYPERLINK("https://klasma.github.io/Logging_1435/kartor_geotiff/A 24984-2025 georefererad karta.tif", "A 24984-2025")</f>
        <v/>
      </c>
      <c r="Z6">
        <f>HYPERLINK("https://klasma.github.io/Logging_1435/knärot/A 24984-2025 karta knärot.png", "A 24984-2025")</f>
        <v/>
      </c>
      <c r="AA6">
        <f>HYPERLINK("https://klasma.github.io/Logging_1435/klagomål/A 24984-2025 FSC-klagomål.docx", "A 24984-2025")</f>
        <v/>
      </c>
      <c r="AB6">
        <f>HYPERLINK("https://klasma.github.io/Logging_1435/klagomålsmail/A 24984-2025 FSC-klagomål mail.docx", "A 24984-2025")</f>
        <v/>
      </c>
      <c r="AC6">
        <f>HYPERLINK("https://klasma.github.io/Logging_1435/tillsyn/A 24984-2025 tillsynsbegäran.docx", "A 24984-2025")</f>
        <v/>
      </c>
      <c r="AD6">
        <f>HYPERLINK("https://klasma.github.io/Logging_1435/tillsynsmail/A 24984-2025 tillsynsbegäran mail.docx", "A 24984-2025")</f>
        <v/>
      </c>
      <c r="AE6">
        <f>HYPERLINK("https://klasma.github.io/Logging_1435/fåglar/A 24984-2025 prioriterade fågelarter.docx", "A 24984-2025")</f>
        <v/>
      </c>
    </row>
    <row r="7" ht="15" customHeight="1">
      <c r="A7" t="inlineStr">
        <is>
          <t>A 59265-2024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45637</v>
      </c>
      <c r="E7" s="1" t="n">
        <v>46312</v>
      </c>
      <c r="F7" t="inlineStr">
        <is>
          <t>VÄSTRA GÖTALANDS LÄN</t>
        </is>
      </c>
      <c r="G7" t="inlineStr">
        <is>
          <t>TANUM</t>
        </is>
      </c>
      <c r="I7" t="n">
        <v>8.5</v>
      </c>
      <c r="J7" t="n">
        <v>5</v>
      </c>
      <c r="K7" t="n">
        <v>2</v>
      </c>
      <c r="L7" t="n">
        <v>3</v>
      </c>
      <c r="M7" t="n">
        <v>0</v>
      </c>
      <c r="N7" t="n">
        <v>0</v>
      </c>
      <c r="O7" t="n">
        <v>0</v>
      </c>
      <c r="P7" t="n">
        <v>0</v>
      </c>
      <c r="Q7" t="n">
        <v>3</v>
      </c>
      <c r="R7" t="n">
        <v>0</v>
      </c>
      <c r="S7" t="n">
        <v>8</v>
      </c>
      <c r="T7" t="n">
        <v>19</v>
      </c>
      <c r="U7" t="n">
        <v>3</v>
      </c>
      <c r="V7" s="2" t="inlineStr">
        <is>
          <t>Grönsångare
Gullpudra
Gulsparv
Dvärghäxört
Strutbräken
Grönsiska
Kungsfågel
Svartvit flugsnappare</t>
        </is>
      </c>
      <c r="W7">
        <f>HYPERLINK("https://klasma.github.io/Logging_1435/artfynd/A 59265-2024 artfynd.xlsx", "A 59265-2024")</f>
        <v/>
      </c>
      <c r="X7">
        <f>HYPERLINK("https://klasma.github.io/Logging_1435/kartor/A 59265-2024 karta.png", "A 59265-2024")</f>
        <v/>
      </c>
      <c r="Y7">
        <f>HYPERLINK("https://klasma.github.io/Logging_1435/kartor_geotiff/A 59265-2024 georefererad karta.tif", "A 59265-2024")</f>
        <v/>
      </c>
      <c r="AA7">
        <f>HYPERLINK("https://klasma.github.io/Logging_1435/klagomål/A 59265-2024 FSC-klagomål.docx", "A 59265-2024")</f>
        <v/>
      </c>
      <c r="AB7">
        <f>HYPERLINK("https://klasma.github.io/Logging_1435/klagomålsmail/A 59265-2024 FSC-klagomål mail.docx", "A 59265-2024")</f>
        <v/>
      </c>
      <c r="AC7">
        <f>HYPERLINK("https://klasma.github.io/Logging_1435/tillsyn/A 59265-2024 tillsynsbegäran.docx", "A 59265-2024")</f>
        <v/>
      </c>
      <c r="AD7">
        <f>HYPERLINK("https://klasma.github.io/Logging_1435/tillsynsmail/A 59265-2024 tillsynsbegäran mail.docx", "A 59265-2024")</f>
        <v/>
      </c>
      <c r="AE7">
        <f>HYPERLINK("https://klasma.github.io/Logging_1435/fåglar/A 59265-2024 prioriterade fågelarter.docx", "A 59265-2024")</f>
        <v/>
      </c>
    </row>
    <row r="8" ht="15" customHeight="1">
      <c r="A8" t="inlineStr">
        <is>
          <t>A 875-2026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46029</v>
      </c>
      <c r="E8" s="1" t="n">
        <v>46312</v>
      </c>
      <c r="F8" t="inlineStr">
        <is>
          <t>VÄSTRA GÖTALANDS LÄN</t>
        </is>
      </c>
      <c r="G8" t="inlineStr">
        <is>
          <t>TANUM</t>
        </is>
      </c>
      <c r="I8" t="n">
        <v>1.6</v>
      </c>
      <c r="J8" t="n">
        <v>8</v>
      </c>
      <c r="K8" t="n">
        <v>0</v>
      </c>
      <c r="L8" t="n">
        <v>3</v>
      </c>
      <c r="M8" t="n">
        <v>1</v>
      </c>
      <c r="N8" t="n">
        <v>0</v>
      </c>
      <c r="O8" t="n">
        <v>0</v>
      </c>
      <c r="P8" t="n">
        <v>0</v>
      </c>
      <c r="Q8" t="n">
        <v>4</v>
      </c>
      <c r="R8" t="n">
        <v>1</v>
      </c>
      <c r="S8" t="n">
        <v>8</v>
      </c>
      <c r="T8" t="n">
        <v>8</v>
      </c>
      <c r="U8" t="n">
        <v>0</v>
      </c>
      <c r="V8" s="2" t="inlineStr">
        <is>
          <t>Tornseglare
Gulsparv
Ladusvala
Sädesärla
Nattskärra
Buskskvätta
Kråka
Kungsfågel</t>
        </is>
      </c>
      <c r="W8">
        <f>HYPERLINK("https://klasma.github.io/Logging_1435/artfynd/A 875-2026 artfynd.xlsx", "A 875-2026")</f>
        <v/>
      </c>
      <c r="X8">
        <f>HYPERLINK("https://klasma.github.io/Logging_1435/kartor/A 875-2026 karta.png", "A 875-2026")</f>
        <v/>
      </c>
      <c r="Y8">
        <f>HYPERLINK("https://klasma.github.io/Logging_1435/kartor_geotiff/A 875-2026 georefererad karta.tif", "A 875-2026")</f>
        <v/>
      </c>
      <c r="AA8">
        <f>HYPERLINK("https://klasma.github.io/Logging_1435/klagomål/A 875-2026 FSC-klagomål.docx", "A 875-2026")</f>
        <v/>
      </c>
      <c r="AB8">
        <f>HYPERLINK("https://klasma.github.io/Logging_1435/klagomålsmail/A 875-2026 FSC-klagomål mail.docx", "A 875-2026")</f>
        <v/>
      </c>
      <c r="AC8">
        <f>HYPERLINK("https://klasma.github.io/Logging_1435/tillsyn/A 875-2026 tillsynsbegäran.docx", "A 875-2026")</f>
        <v/>
      </c>
      <c r="AD8">
        <f>HYPERLINK("https://klasma.github.io/Logging_1435/tillsynsmail/A 875-2026 tillsynsbegäran mail.docx", "A 875-2026")</f>
        <v/>
      </c>
      <c r="AE8">
        <f>HYPERLINK("https://klasma.github.io/Logging_1435/fåglar/A 875-2026 prioriterade fågelarter.docx", "A 875-2026")</f>
        <v/>
      </c>
    </row>
    <row r="9" ht="15" customHeight="1">
      <c r="A9" t="inlineStr">
        <is>
          <t>A 33558-2026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46247</v>
      </c>
      <c r="E9" s="1" t="n">
        <v>46312</v>
      </c>
      <c r="F9" t="inlineStr">
        <is>
          <t>VÄSTRA GÖTALANDS LÄN</t>
        </is>
      </c>
      <c r="G9" t="inlineStr">
        <is>
          <t>TANUM</t>
        </is>
      </c>
      <c r="I9" t="n">
        <v>6.7</v>
      </c>
      <c r="J9" t="n">
        <v>4</v>
      </c>
      <c r="K9" t="n">
        <v>3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8</v>
      </c>
      <c r="T9" t="n">
        <v>15</v>
      </c>
      <c r="U9" t="n">
        <v>15</v>
      </c>
      <c r="V9" s="2" t="inlineStr">
        <is>
          <t>Kattfotslav
Barkticka
Rävticka
Thomsons trägnagare
Spillkråka
Vattenfladdermus
Vanlig padda
Revlummer</t>
        </is>
      </c>
      <c r="W9">
        <f>HYPERLINK("https://klasma.github.io/Logging_1435/artfynd/A 33558-2026 artfynd.xlsx", "A 33558-2026")</f>
        <v/>
      </c>
      <c r="X9">
        <f>HYPERLINK("https://klasma.github.io/Logging_1435/kartor/A 33558-2026 karta.png", "A 33558-2026")</f>
        <v/>
      </c>
      <c r="Y9">
        <f>HYPERLINK("https://klasma.github.io/Logging_1435/kartor_geotiff/A 33558-2026 georefererad karta.tif", "A 33558-2026")</f>
        <v/>
      </c>
      <c r="AA9">
        <f>HYPERLINK("https://klasma.github.io/Logging_1435/klagomål/A 33558-2026 FSC-klagomål.docx", "A 33558-2026")</f>
        <v/>
      </c>
      <c r="AB9">
        <f>HYPERLINK("https://klasma.github.io/Logging_1435/klagomålsmail/A 33558-2026 FSC-klagomål mail.docx", "A 33558-2026")</f>
        <v/>
      </c>
      <c r="AC9">
        <f>HYPERLINK("https://klasma.github.io/Logging_1435/tillsyn/A 33558-2026 tillsynsbegäran.docx", "A 33558-2026")</f>
        <v/>
      </c>
      <c r="AD9">
        <f>HYPERLINK("https://klasma.github.io/Logging_1435/tillsynsmail/A 33558-2026 tillsynsbegäran mail.docx", "A 33558-2026")</f>
        <v/>
      </c>
      <c r="AE9">
        <f>HYPERLINK("https://klasma.github.io/Logging_1435/fåglar/A 33558-2026 prioriterade fågelarter.docx", "A 33558-2026")</f>
        <v/>
      </c>
    </row>
    <row r="10" ht="15" customHeight="1">
      <c r="A10" t="inlineStr">
        <is>
          <t>A 12671-2023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45000</v>
      </c>
      <c r="E10" s="1" t="n">
        <v>46312</v>
      </c>
      <c r="F10" t="inlineStr">
        <is>
          <t>VÄSTRA GÖTALANDS LÄN</t>
        </is>
      </c>
      <c r="G10" t="inlineStr">
        <is>
          <t>TANUM</t>
        </is>
      </c>
      <c r="I10" t="n">
        <v>3.7</v>
      </c>
      <c r="J10" t="n">
        <v>6</v>
      </c>
      <c r="K10" t="n">
        <v>1</v>
      </c>
      <c r="L10" t="n">
        <v>2</v>
      </c>
      <c r="M10" t="n">
        <v>0</v>
      </c>
      <c r="N10" t="n">
        <v>0</v>
      </c>
      <c r="O10" t="n">
        <v>0</v>
      </c>
      <c r="P10" t="n">
        <v>0</v>
      </c>
      <c r="Q10" t="n">
        <v>2</v>
      </c>
      <c r="R10" t="n">
        <v>0</v>
      </c>
      <c r="S10" t="n">
        <v>7</v>
      </c>
      <c r="T10" t="n">
        <v>27</v>
      </c>
      <c r="U10" t="n">
        <v>26</v>
      </c>
      <c r="V10" s="2" t="inlineStr">
        <is>
          <t>Talltita
Tretåig hackspett
Västlig hakmossa
Nattskärra
Spillkråka
Tjäder
Revlummer</t>
        </is>
      </c>
      <c r="W10">
        <f>HYPERLINK("https://klasma.github.io/Logging_1435/artfynd/A 12671-2023 artfynd.xlsx", "A 12671-2023")</f>
        <v/>
      </c>
      <c r="X10">
        <f>HYPERLINK("https://klasma.github.io/Logging_1435/kartor/A 12671-2023 karta.png", "A 12671-2023")</f>
        <v/>
      </c>
      <c r="Y10">
        <f>HYPERLINK("https://klasma.github.io/Logging_1435/kartor_geotiff/A 12671-2023 georefererad karta.tif", "A 12671-2023")</f>
        <v/>
      </c>
      <c r="AA10">
        <f>HYPERLINK("https://klasma.github.io/Logging_1435/klagomål/A 12671-2023 FSC-klagomål.docx", "A 12671-2023")</f>
        <v/>
      </c>
      <c r="AB10">
        <f>HYPERLINK("https://klasma.github.io/Logging_1435/klagomålsmail/A 12671-2023 FSC-klagomål mail.docx", "A 12671-2023")</f>
        <v/>
      </c>
      <c r="AC10">
        <f>HYPERLINK("https://klasma.github.io/Logging_1435/tillsyn/A 12671-2023 tillsynsbegäran.docx", "A 12671-2023")</f>
        <v/>
      </c>
      <c r="AD10">
        <f>HYPERLINK("https://klasma.github.io/Logging_1435/tillsynsmail/A 12671-2023 tillsynsbegäran mail.docx", "A 12671-2023")</f>
        <v/>
      </c>
      <c r="AE10">
        <f>HYPERLINK("https://klasma.github.io/Logging_1435/fåglar/A 12671-2023 prioriterade fågelarter.docx", "A 12671-2023")</f>
        <v/>
      </c>
    </row>
    <row r="11" ht="15" customHeight="1">
      <c r="A11" t="inlineStr">
        <is>
          <t>A 21363-2026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46145</v>
      </c>
      <c r="E11" s="1" t="n">
        <v>46312</v>
      </c>
      <c r="F11" t="inlineStr">
        <is>
          <t>VÄSTRA GÖTALANDS LÄN</t>
        </is>
      </c>
      <c r="G11" t="inlineStr">
        <is>
          <t>TANUM</t>
        </is>
      </c>
      <c r="I11" t="n">
        <v>3.1</v>
      </c>
      <c r="J11" t="n">
        <v>6</v>
      </c>
      <c r="K11" t="n">
        <v>0</v>
      </c>
      <c r="L11" t="n">
        <v>4</v>
      </c>
      <c r="M11" t="n">
        <v>0</v>
      </c>
      <c r="N11" t="n">
        <v>0</v>
      </c>
      <c r="O11" t="n">
        <v>0</v>
      </c>
      <c r="P11" t="n">
        <v>0</v>
      </c>
      <c r="Q11" t="n">
        <v>4</v>
      </c>
      <c r="R11" t="n">
        <v>0</v>
      </c>
      <c r="S11" t="n">
        <v>6</v>
      </c>
      <c r="T11" t="n">
        <v>6</v>
      </c>
      <c r="U11" t="n">
        <v>0</v>
      </c>
      <c r="V11" s="2" t="inlineStr">
        <is>
          <t>Entita
Grönsångare
Järnsparv
Mindre hackspett
Gröngöling
Svartvit flugsnappare</t>
        </is>
      </c>
      <c r="W11">
        <f>HYPERLINK("https://klasma.github.io/Logging_1435/artfynd/A 21363-2026 artfynd.xlsx", "A 21363-2026")</f>
        <v/>
      </c>
      <c r="X11">
        <f>HYPERLINK("https://klasma.github.io/Logging_1435/kartor/A 21363-2026 karta.png", "A 21363-2026")</f>
        <v/>
      </c>
      <c r="Y11">
        <f>HYPERLINK("https://klasma.github.io/Logging_1435/kartor_geotiff/A 21363-2026 georefererad karta.tif", "A 21363-2026")</f>
        <v/>
      </c>
      <c r="AA11">
        <f>HYPERLINK("https://klasma.github.io/Logging_1435/klagomål/A 21363-2026 FSC-klagomål.docx", "A 21363-2026")</f>
        <v/>
      </c>
      <c r="AB11">
        <f>HYPERLINK("https://klasma.github.io/Logging_1435/klagomålsmail/A 21363-2026 FSC-klagomål mail.docx", "A 21363-2026")</f>
        <v/>
      </c>
      <c r="AC11">
        <f>HYPERLINK("https://klasma.github.io/Logging_1435/tillsyn/A 21363-2026 tillsynsbegäran.docx", "A 21363-2026")</f>
        <v/>
      </c>
      <c r="AD11">
        <f>HYPERLINK("https://klasma.github.io/Logging_1435/tillsynsmail/A 21363-2026 tillsynsbegäran mail.docx", "A 21363-2026")</f>
        <v/>
      </c>
      <c r="AE11">
        <f>HYPERLINK("https://klasma.github.io/Logging_1435/fåglar/A 21363-2026 prioriterade fågelarter.docx", "A 21363-2026")</f>
        <v/>
      </c>
    </row>
    <row r="12" ht="15" customHeight="1">
      <c r="A12" t="inlineStr">
        <is>
          <t>A 15310-2024</t>
        </is>
      </c>
      <c r="B12" t="inlineStr">
        <is>
          <t>avverkningsanmälan</t>
        </is>
      </c>
      <c r="C12" t="inlineStr">
        <is>
          <t>Avverkning för annat ändamål</t>
        </is>
      </c>
      <c r="D12" s="1" t="n">
        <v>45400</v>
      </c>
      <c r="E12" s="1" t="n">
        <v>46312</v>
      </c>
      <c r="F12" t="inlineStr">
        <is>
          <t>VÄSTRA GÖTALANDS LÄN</t>
        </is>
      </c>
      <c r="G12" t="inlineStr">
        <is>
          <t>TANUM</t>
        </is>
      </c>
      <c r="I12" t="n">
        <v>2.3</v>
      </c>
      <c r="J12" t="n">
        <v>6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2</v>
      </c>
      <c r="R12" t="n">
        <v>1</v>
      </c>
      <c r="S12" t="n">
        <v>6</v>
      </c>
      <c r="T12" t="n">
        <v>7</v>
      </c>
      <c r="U12" t="n">
        <v>2</v>
      </c>
      <c r="V12" s="2" t="inlineStr">
        <is>
          <t>Hasselsnok
Rödvingetrast
Spillkråka
Havsörn
Kungsfågel
Huggorm</t>
        </is>
      </c>
      <c r="W12">
        <f>HYPERLINK("https://klasma.github.io/Logging_1435/artfynd/A 15310-2024 artfynd.xlsx", "A 15310-2024")</f>
        <v/>
      </c>
      <c r="X12">
        <f>HYPERLINK("https://klasma.github.io/Logging_1435/kartor/A 15310-2024 karta.png", "A 15310-2024")</f>
        <v/>
      </c>
      <c r="Y12">
        <f>HYPERLINK("https://klasma.github.io/Logging_1435/kartor_geotiff/A 15310-2024 georefererad karta.tif", "A 15310-2024")</f>
        <v/>
      </c>
      <c r="AA12">
        <f>HYPERLINK("https://klasma.github.io/Logging_1435/klagomål/A 15310-2024 FSC-klagomål.docx", "A 15310-2024")</f>
        <v/>
      </c>
      <c r="AB12">
        <f>HYPERLINK("https://klasma.github.io/Logging_1435/klagomålsmail/A 15310-2024 FSC-klagomål mail.docx", "A 15310-2024")</f>
        <v/>
      </c>
      <c r="AC12">
        <f>HYPERLINK("https://klasma.github.io/Logging_1435/tillsyn/A 15310-2024 tillsynsbegäran.docx", "A 15310-2024")</f>
        <v/>
      </c>
      <c r="AD12">
        <f>HYPERLINK("https://klasma.github.io/Logging_1435/tillsynsmail/A 15310-2024 tillsynsbegäran mail.docx", "A 15310-2024")</f>
        <v/>
      </c>
      <c r="AE12">
        <f>HYPERLINK("https://klasma.github.io/Logging_1435/fåglar/A 15310-2024 prioriterade fågelarter.docx", "A 15310-2024")</f>
        <v/>
      </c>
    </row>
    <row r="13" ht="15" customHeight="1">
      <c r="A13" t="inlineStr">
        <is>
          <t>A 13943-2023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45008</v>
      </c>
      <c r="E13" s="1" t="n">
        <v>46312</v>
      </c>
      <c r="F13" t="inlineStr">
        <is>
          <t>VÄSTRA GÖTALANDS LÄN</t>
        </is>
      </c>
      <c r="G13" t="inlineStr">
        <is>
          <t>TANUM</t>
        </is>
      </c>
      <c r="I13" t="n">
        <v>3.5</v>
      </c>
      <c r="J13" t="n">
        <v>2</v>
      </c>
      <c r="K13" t="n">
        <v>1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5</v>
      </c>
      <c r="T13" t="n">
        <v>9</v>
      </c>
      <c r="U13" t="n">
        <v>9</v>
      </c>
      <c r="V13" s="2" t="inlineStr">
        <is>
          <t>Skrovellav
Vedskivlav
Blåmossa
Spillkråka
Revlummer</t>
        </is>
      </c>
      <c r="W13">
        <f>HYPERLINK("https://klasma.github.io/Logging_1435/artfynd/A 13943-2023 artfynd.xlsx", "A 13943-2023")</f>
        <v/>
      </c>
      <c r="X13">
        <f>HYPERLINK("https://klasma.github.io/Logging_1435/kartor/A 13943-2023 karta.png", "A 13943-2023")</f>
        <v/>
      </c>
      <c r="Y13">
        <f>HYPERLINK("https://klasma.github.io/Logging_1435/kartor_geotiff/A 13943-2023 georefererad karta.tif", "A 13943-2023")</f>
        <v/>
      </c>
      <c r="AA13">
        <f>HYPERLINK("https://klasma.github.io/Logging_1435/klagomål/A 13943-2023 FSC-klagomål.docx", "A 13943-2023")</f>
        <v/>
      </c>
      <c r="AB13">
        <f>HYPERLINK("https://klasma.github.io/Logging_1435/klagomålsmail/A 13943-2023 FSC-klagomål mail.docx", "A 13943-2023")</f>
        <v/>
      </c>
      <c r="AC13">
        <f>HYPERLINK("https://klasma.github.io/Logging_1435/tillsyn/A 13943-2023 tillsynsbegäran.docx", "A 13943-2023")</f>
        <v/>
      </c>
      <c r="AD13">
        <f>HYPERLINK("https://klasma.github.io/Logging_1435/tillsynsmail/A 13943-2023 tillsynsbegäran mail.docx", "A 13943-2023")</f>
        <v/>
      </c>
      <c r="AE13">
        <f>HYPERLINK("https://klasma.github.io/Logging_1435/fåglar/A 13943-2023 prioriterade fågelarter.docx", "A 13943-2023")</f>
        <v/>
      </c>
    </row>
    <row r="14" ht="15" customHeight="1">
      <c r="A14" t="inlineStr">
        <is>
          <t>A 1706-2026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46034</v>
      </c>
      <c r="E14" s="1" t="n">
        <v>46312</v>
      </c>
      <c r="F14" t="inlineStr">
        <is>
          <t>VÄSTRA GÖTALANDS LÄN</t>
        </is>
      </c>
      <c r="G14" t="inlineStr">
        <is>
          <t>TANUM</t>
        </is>
      </c>
      <c r="I14" t="n">
        <v>10.5</v>
      </c>
      <c r="J14" t="n">
        <v>4</v>
      </c>
      <c r="K14" t="n">
        <v>0</v>
      </c>
      <c r="L14" t="n">
        <v>3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0</v>
      </c>
      <c r="S14" t="n">
        <v>5</v>
      </c>
      <c r="T14" t="n">
        <v>7</v>
      </c>
      <c r="U14" t="n">
        <v>7</v>
      </c>
      <c r="V14" s="2" t="inlineStr">
        <is>
          <t>Skuggblåslav
Talltita
Tretåig hackspett
Spillkråka
Tofsmes</t>
        </is>
      </c>
      <c r="W14">
        <f>HYPERLINK("https://klasma.github.io/Logging_1435/artfynd/A 1706-2026 artfynd.xlsx", "A 1706-2026")</f>
        <v/>
      </c>
      <c r="X14">
        <f>HYPERLINK("https://klasma.github.io/Logging_1435/kartor/A 1706-2026 karta.png", "A 1706-2026")</f>
        <v/>
      </c>
      <c r="Y14">
        <f>HYPERLINK("https://klasma.github.io/Logging_1435/kartor_geotiff/A 1706-2026 georefererad karta.tif", "A 1706-2026")</f>
        <v/>
      </c>
      <c r="AA14">
        <f>HYPERLINK("https://klasma.github.io/Logging_1435/klagomål/A 1706-2026 FSC-klagomål.docx", "A 1706-2026")</f>
        <v/>
      </c>
      <c r="AB14">
        <f>HYPERLINK("https://klasma.github.io/Logging_1435/klagomålsmail/A 1706-2026 FSC-klagomål mail.docx", "A 1706-2026")</f>
        <v/>
      </c>
      <c r="AC14">
        <f>HYPERLINK("https://klasma.github.io/Logging_1435/tillsyn/A 1706-2026 tillsynsbegäran.docx", "A 1706-2026")</f>
        <v/>
      </c>
      <c r="AD14">
        <f>HYPERLINK("https://klasma.github.io/Logging_1435/tillsynsmail/A 1706-2026 tillsynsbegäran mail.docx", "A 1706-2026")</f>
        <v/>
      </c>
      <c r="AE14">
        <f>HYPERLINK("https://klasma.github.io/Logging_1435/fåglar/A 1706-2026 prioriterade fågelarter.docx", "A 1706-2026")</f>
        <v/>
      </c>
    </row>
    <row r="15" ht="15" customHeight="1">
      <c r="A15" t="inlineStr">
        <is>
          <t>A 19284-2022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44692</v>
      </c>
      <c r="E15" s="1" t="n">
        <v>46312</v>
      </c>
      <c r="F15" t="inlineStr">
        <is>
          <t>VÄSTRA GÖTALANDS LÄN</t>
        </is>
      </c>
      <c r="G15" t="inlineStr">
        <is>
          <t>TANUM</t>
        </is>
      </c>
      <c r="I15" t="n">
        <v>1.5</v>
      </c>
      <c r="J15" t="n">
        <v>0</v>
      </c>
      <c r="K15" t="n">
        <v>3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4</v>
      </c>
      <c r="T15" t="n">
        <v>13</v>
      </c>
      <c r="U15" t="n">
        <v>13</v>
      </c>
      <c r="V15" s="2" t="inlineStr">
        <is>
          <t>Kattfotslav
Klippfrullania
Stor revmossa
Västlig hakmossa</t>
        </is>
      </c>
      <c r="W15">
        <f>HYPERLINK("https://klasma.github.io/Logging_1435/artfynd/A 19284-2022 artfynd.xlsx", "A 19284-2022")</f>
        <v/>
      </c>
      <c r="X15">
        <f>HYPERLINK("https://klasma.github.io/Logging_1435/kartor/A 19284-2022 karta.png", "A 19284-2022")</f>
        <v/>
      </c>
      <c r="Y15">
        <f>HYPERLINK("https://klasma.github.io/Logging_1435/kartor_geotiff/A 19284-2022 georefererad karta.tif", "A 19284-2022")</f>
        <v/>
      </c>
      <c r="AA15">
        <f>HYPERLINK("https://klasma.github.io/Logging_1435/klagomål/A 19284-2022 FSC-klagomål.docx", "A 19284-2022")</f>
        <v/>
      </c>
      <c r="AB15">
        <f>HYPERLINK("https://klasma.github.io/Logging_1435/klagomålsmail/A 19284-2022 FSC-klagomål mail.docx", "A 19284-2022")</f>
        <v/>
      </c>
      <c r="AC15">
        <f>HYPERLINK("https://klasma.github.io/Logging_1435/tillsyn/A 19284-2022 tillsynsbegäran.docx", "A 19284-2022")</f>
        <v/>
      </c>
      <c r="AD15">
        <f>HYPERLINK("https://klasma.github.io/Logging_1435/tillsynsmail/A 19284-2022 tillsynsbegäran mail.docx", "A 19284-2022")</f>
        <v/>
      </c>
    </row>
    <row r="16" ht="15" customHeight="1">
      <c r="A16" t="inlineStr">
        <is>
          <t>A 34080-2023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45135</v>
      </c>
      <c r="E16" s="1" t="n">
        <v>46312</v>
      </c>
      <c r="F16" t="inlineStr">
        <is>
          <t>VÄSTRA GÖTALANDS LÄN</t>
        </is>
      </c>
      <c r="G16" t="inlineStr">
        <is>
          <t>TANUM</t>
        </is>
      </c>
      <c r="I16" t="n">
        <v>2</v>
      </c>
      <c r="J16" t="n">
        <v>1</v>
      </c>
      <c r="K16" t="n">
        <v>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</v>
      </c>
      <c r="T16" t="n">
        <v>4</v>
      </c>
      <c r="U16" t="n">
        <v>4</v>
      </c>
      <c r="V16" s="2" t="inlineStr">
        <is>
          <t>Blåmossa
Rödgul trumpetsvamp
Stor revmossa
Revlummer</t>
        </is>
      </c>
      <c r="W16">
        <f>HYPERLINK("https://klasma.github.io/Logging_1435/artfynd/A 34080-2023 artfynd.xlsx", "A 34080-2023")</f>
        <v/>
      </c>
      <c r="X16">
        <f>HYPERLINK("https://klasma.github.io/Logging_1435/kartor/A 34080-2023 karta.png", "A 34080-2023")</f>
        <v/>
      </c>
      <c r="Y16">
        <f>HYPERLINK("https://klasma.github.io/Logging_1435/kartor_geotiff/A 34080-2023 georefererad karta.tif", "A 34080-2023")</f>
        <v/>
      </c>
      <c r="AA16">
        <f>HYPERLINK("https://klasma.github.io/Logging_1435/klagomål/A 34080-2023 FSC-klagomål.docx", "A 34080-2023")</f>
        <v/>
      </c>
      <c r="AB16">
        <f>HYPERLINK("https://klasma.github.io/Logging_1435/klagomålsmail/A 34080-2023 FSC-klagomål mail.docx", "A 34080-2023")</f>
        <v/>
      </c>
      <c r="AC16">
        <f>HYPERLINK("https://klasma.github.io/Logging_1435/tillsyn/A 34080-2023 tillsynsbegäran.docx", "A 34080-2023")</f>
        <v/>
      </c>
      <c r="AD16">
        <f>HYPERLINK("https://klasma.github.io/Logging_1435/tillsynsmail/A 34080-2023 tillsynsbegäran mail.docx", "A 34080-2023")</f>
        <v/>
      </c>
    </row>
    <row r="17" ht="15" customHeight="1">
      <c r="A17" t="inlineStr">
        <is>
          <t>A 10901-2025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45722</v>
      </c>
      <c r="E17" s="1" t="n">
        <v>46312</v>
      </c>
      <c r="F17" t="inlineStr">
        <is>
          <t>VÄSTRA GÖTALANDS LÄN</t>
        </is>
      </c>
      <c r="G17" t="inlineStr">
        <is>
          <t>TANUM</t>
        </is>
      </c>
      <c r="I17" t="n">
        <v>4.6</v>
      </c>
      <c r="J17" t="n">
        <v>0</v>
      </c>
      <c r="K17" t="n">
        <v>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</v>
      </c>
      <c r="T17" t="n">
        <v>4</v>
      </c>
      <c r="U17" t="n">
        <v>4</v>
      </c>
      <c r="V17" s="2" t="inlineStr">
        <is>
          <t>Blåmossa
Rävticka
Västlig hakmossa
Vågbandad barkbock</t>
        </is>
      </c>
      <c r="W17">
        <f>HYPERLINK("https://klasma.github.io/Logging_1435/artfynd/A 10901-2025 artfynd.xlsx", "A 10901-2025")</f>
        <v/>
      </c>
      <c r="X17">
        <f>HYPERLINK("https://klasma.github.io/Logging_1435/kartor/A 10901-2025 karta.png", "A 10901-2025")</f>
        <v/>
      </c>
      <c r="Y17">
        <f>HYPERLINK("https://klasma.github.io/Logging_1435/kartor_geotiff/A 10901-2025 georefererad karta.tif", "A 10901-2025")</f>
        <v/>
      </c>
      <c r="AA17">
        <f>HYPERLINK("https://klasma.github.io/Logging_1435/klagomål/A 10901-2025 FSC-klagomål.docx", "A 10901-2025")</f>
        <v/>
      </c>
      <c r="AB17">
        <f>HYPERLINK("https://klasma.github.io/Logging_1435/klagomålsmail/A 10901-2025 FSC-klagomål mail.docx", "A 10901-2025")</f>
        <v/>
      </c>
      <c r="AC17">
        <f>HYPERLINK("https://klasma.github.io/Logging_1435/tillsyn/A 10901-2025 tillsynsbegäran.docx", "A 10901-2025")</f>
        <v/>
      </c>
      <c r="AD17">
        <f>HYPERLINK("https://klasma.github.io/Logging_1435/tillsynsmail/A 10901-2025 tillsynsbegäran mail.docx", "A 10901-2025")</f>
        <v/>
      </c>
    </row>
    <row r="18" ht="15" customHeight="1">
      <c r="A18" t="inlineStr">
        <is>
          <t>A 12684-2023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45000</v>
      </c>
      <c r="E18" s="1" t="n">
        <v>46312</v>
      </c>
      <c r="F18" t="inlineStr">
        <is>
          <t>VÄSTRA GÖTALANDS LÄN</t>
        </is>
      </c>
      <c r="G18" t="inlineStr">
        <is>
          <t>TANUM</t>
        </is>
      </c>
      <c r="I18" t="n">
        <v>1.6</v>
      </c>
      <c r="J18" t="n">
        <v>3</v>
      </c>
      <c r="K18" t="n">
        <v>0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4</v>
      </c>
      <c r="T18" t="n">
        <v>5</v>
      </c>
      <c r="U18" t="n">
        <v>5</v>
      </c>
      <c r="V18" s="2" t="inlineStr">
        <is>
          <t>Dropptaggsvamp
Tretåig hackspett
Tjäder
Kungsfågel</t>
        </is>
      </c>
      <c r="W18">
        <f>HYPERLINK("https://klasma.github.io/Logging_1435/artfynd/A 12684-2023 artfynd.xlsx", "A 12684-2023")</f>
        <v/>
      </c>
      <c r="X18">
        <f>HYPERLINK("https://klasma.github.io/Logging_1435/kartor/A 12684-2023 karta.png", "A 12684-2023")</f>
        <v/>
      </c>
      <c r="Y18">
        <f>HYPERLINK("https://klasma.github.io/Logging_1435/kartor_geotiff/A 12684-2023 georefererad karta.tif", "A 12684-2023")</f>
        <v/>
      </c>
      <c r="AA18">
        <f>HYPERLINK("https://klasma.github.io/Logging_1435/klagomål/A 12684-2023 FSC-klagomål.docx", "A 12684-2023")</f>
        <v/>
      </c>
      <c r="AB18">
        <f>HYPERLINK("https://klasma.github.io/Logging_1435/klagomålsmail/A 12684-2023 FSC-klagomål mail.docx", "A 12684-2023")</f>
        <v/>
      </c>
      <c r="AC18">
        <f>HYPERLINK("https://klasma.github.io/Logging_1435/tillsyn/A 12684-2023 tillsynsbegäran.docx", "A 12684-2023")</f>
        <v/>
      </c>
      <c r="AD18">
        <f>HYPERLINK("https://klasma.github.io/Logging_1435/tillsynsmail/A 12684-2023 tillsynsbegäran mail.docx", "A 12684-2023")</f>
        <v/>
      </c>
      <c r="AE18">
        <f>HYPERLINK("https://klasma.github.io/Logging_1435/fåglar/A 12684-2023 prioriterade fågelarter.docx", "A 12684-2023")</f>
        <v/>
      </c>
    </row>
    <row r="19" ht="15" customHeight="1">
      <c r="A19" t="inlineStr">
        <is>
          <t>A 13274-2022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44644</v>
      </c>
      <c r="E19" s="1" t="n">
        <v>46312</v>
      </c>
      <c r="F19" t="inlineStr">
        <is>
          <t>VÄSTRA GÖTALANDS LÄN</t>
        </is>
      </c>
      <c r="G19" t="inlineStr">
        <is>
          <t>TANUM</t>
        </is>
      </c>
      <c r="I19" t="n">
        <v>4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</v>
      </c>
      <c r="T19" t="n">
        <v>3</v>
      </c>
      <c r="U19" t="n">
        <v>0</v>
      </c>
      <c r="V19" s="2" t="inlineStr">
        <is>
          <t>Mattlummer
Lopplummer (aggregat)
Revlummer</t>
        </is>
      </c>
      <c r="W19">
        <f>HYPERLINK("https://klasma.github.io/Logging_1435/artfynd/A 13274-2022 artfynd.xlsx", "A 13274-2022")</f>
        <v/>
      </c>
      <c r="X19">
        <f>HYPERLINK("https://klasma.github.io/Logging_1435/kartor/A 13274-2022 karta.png", "A 13274-2022")</f>
        <v/>
      </c>
      <c r="Y19">
        <f>HYPERLINK("https://klasma.github.io/Logging_1435/kartor_geotiff/A 13274-2022 georefererad karta.tif", "A 13274-2022")</f>
        <v/>
      </c>
      <c r="AA19">
        <f>HYPERLINK("https://klasma.github.io/Logging_1435/klagomål/A 13274-2022 FSC-klagomål.docx", "A 13274-2022")</f>
        <v/>
      </c>
      <c r="AB19">
        <f>HYPERLINK("https://klasma.github.io/Logging_1435/klagomålsmail/A 13274-2022 FSC-klagomål mail.docx", "A 13274-2022")</f>
        <v/>
      </c>
      <c r="AC19">
        <f>HYPERLINK("https://klasma.github.io/Logging_1435/tillsyn/A 13274-2022 tillsynsbegäran.docx", "A 13274-2022")</f>
        <v/>
      </c>
      <c r="AD19">
        <f>HYPERLINK("https://klasma.github.io/Logging_1435/tillsynsmail/A 13274-2022 tillsynsbegäran mail.docx", "A 13274-2022")</f>
        <v/>
      </c>
    </row>
    <row r="20" ht="15" customHeight="1">
      <c r="A20" t="inlineStr">
        <is>
          <t>A 37930-2023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45160</v>
      </c>
      <c r="E20" s="1" t="n">
        <v>46312</v>
      </c>
      <c r="F20" t="inlineStr">
        <is>
          <t>VÄSTRA GÖTALANDS LÄN</t>
        </is>
      </c>
      <c r="G20" t="inlineStr">
        <is>
          <t>TANUM</t>
        </is>
      </c>
      <c r="I20" t="n">
        <v>5.2</v>
      </c>
      <c r="J20" t="n">
        <v>0</v>
      </c>
      <c r="K20" t="n">
        <v>0</v>
      </c>
      <c r="L20" t="n">
        <v>3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3</v>
      </c>
      <c r="T20" t="n">
        <v>4</v>
      </c>
      <c r="U20" t="n">
        <v>4</v>
      </c>
      <c r="V20" s="2" t="inlineStr">
        <is>
          <t>Dofttaggsvamp
Orange taggsvamp
Skarp dropptaggsvamp</t>
        </is>
      </c>
      <c r="W20">
        <f>HYPERLINK("https://klasma.github.io/Logging_1435/artfynd/A 37930-2023 artfynd.xlsx", "A 37930-2023")</f>
        <v/>
      </c>
      <c r="X20">
        <f>HYPERLINK("https://klasma.github.io/Logging_1435/kartor/A 37930-2023 karta.png", "A 37930-2023")</f>
        <v/>
      </c>
      <c r="Y20">
        <f>HYPERLINK("https://klasma.github.io/Logging_1435/kartor_geotiff/A 37930-2023 georefererad karta.tif", "A 37930-2023")</f>
        <v/>
      </c>
      <c r="AA20">
        <f>HYPERLINK("https://klasma.github.io/Logging_1435/klagomål/A 37930-2023 FSC-klagomål.docx", "A 37930-2023")</f>
        <v/>
      </c>
      <c r="AB20">
        <f>HYPERLINK("https://klasma.github.io/Logging_1435/klagomålsmail/A 37930-2023 FSC-klagomål mail.docx", "A 37930-2023")</f>
        <v/>
      </c>
      <c r="AC20">
        <f>HYPERLINK("https://klasma.github.io/Logging_1435/tillsyn/A 37930-2023 tillsynsbegäran.docx", "A 37930-2023")</f>
        <v/>
      </c>
      <c r="AD20">
        <f>HYPERLINK("https://klasma.github.io/Logging_1435/tillsynsmail/A 37930-2023 tillsynsbegäran mail.docx", "A 37930-2023")</f>
        <v/>
      </c>
    </row>
    <row r="21" ht="15" customHeight="1">
      <c r="A21" t="inlineStr">
        <is>
          <t>A 46294-2023</t>
        </is>
      </c>
      <c r="B21" t="inlineStr">
        <is>
          <t>avverkningsanmälan</t>
        </is>
      </c>
      <c r="C21" t="inlineStr">
        <is>
          <t>Avverkning för annat ändamål</t>
        </is>
      </c>
      <c r="D21" s="1" t="n">
        <v>45197</v>
      </c>
      <c r="E21" s="1" t="n">
        <v>46312</v>
      </c>
      <c r="F21" t="inlineStr">
        <is>
          <t>VÄSTRA GÖTALANDS LÄN</t>
        </is>
      </c>
      <c r="G21" t="inlineStr">
        <is>
          <t>TANUM</t>
        </is>
      </c>
      <c r="I21" t="n">
        <v>1.1</v>
      </c>
      <c r="J21" t="n">
        <v>2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1</v>
      </c>
      <c r="S21" t="n">
        <v>3</v>
      </c>
      <c r="T21" t="n">
        <v>6</v>
      </c>
      <c r="U21" t="n">
        <v>6</v>
      </c>
      <c r="V21" s="2" t="inlineStr">
        <is>
          <t>Knärot
Västlig hakmossa
Revlummer</t>
        </is>
      </c>
      <c r="W21">
        <f>HYPERLINK("https://klasma.github.io/Logging_1435/artfynd/A 46294-2023 artfynd.xlsx", "A 46294-2023")</f>
        <v/>
      </c>
      <c r="X21">
        <f>HYPERLINK("https://klasma.github.io/Logging_1435/kartor/A 46294-2023 karta.png", "A 46294-2023")</f>
        <v/>
      </c>
      <c r="Y21">
        <f>HYPERLINK("https://klasma.github.io/Logging_1435/kartor_geotiff/A 46294-2023 georefererad karta.tif", "A 46294-2023")</f>
        <v/>
      </c>
      <c r="Z21">
        <f>HYPERLINK("https://klasma.github.io/Logging_1435/knärot/A 46294-2023 karta knärot.png", "A 46294-2023")</f>
        <v/>
      </c>
      <c r="AA21">
        <f>HYPERLINK("https://klasma.github.io/Logging_1435/klagomål/A 46294-2023 FSC-klagomål.docx", "A 46294-2023")</f>
        <v/>
      </c>
      <c r="AB21">
        <f>HYPERLINK("https://klasma.github.io/Logging_1435/klagomålsmail/A 46294-2023 FSC-klagomål mail.docx", "A 46294-2023")</f>
        <v/>
      </c>
      <c r="AC21">
        <f>HYPERLINK("https://klasma.github.io/Logging_1435/tillsyn/A 46294-2023 tillsynsbegäran.docx", "A 46294-2023")</f>
        <v/>
      </c>
      <c r="AD21">
        <f>HYPERLINK("https://klasma.github.io/Logging_1435/tillsynsmail/A 46294-2023 tillsynsbegäran mail.docx", "A 46294-2023")</f>
        <v/>
      </c>
    </row>
    <row r="22" ht="15" customHeight="1">
      <c r="A22" t="inlineStr">
        <is>
          <t>S 1998-2025</t>
        </is>
      </c>
      <c r="B22" t="inlineStr">
        <is>
          <t>samrådsanmälan</t>
        </is>
      </c>
      <c r="C22" t="inlineStr">
        <is>
          <t>Annan skogsbruksåtgärd</t>
        </is>
      </c>
      <c r="D22" s="1" t="n">
        <v>45833</v>
      </c>
      <c r="E22" s="1" t="n">
        <v>46312</v>
      </c>
      <c r="F22" t="inlineStr">
        <is>
          <t>VÄSTRA GÖTALANDS LÄN</t>
        </is>
      </c>
      <c r="G22" t="inlineStr">
        <is>
          <t>TANUM</t>
        </is>
      </c>
      <c r="I22" t="n">
        <v>12.9</v>
      </c>
      <c r="J22" t="n">
        <v>2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3</v>
      </c>
      <c r="T22" t="n">
        <v>5</v>
      </c>
      <c r="U22" t="n">
        <v>3</v>
      </c>
      <c r="V22" s="2" t="inlineStr">
        <is>
          <t>Vårstarr
Blåsippa
Gullviva</t>
        </is>
      </c>
      <c r="W22">
        <f>HYPERLINK("https://klasma.github.io/Logging_1435/artfynd/S 1998-2025 artfynd.xlsx", "S 1998-2025")</f>
        <v/>
      </c>
      <c r="X22">
        <f>HYPERLINK("https://klasma.github.io/Logging_1435/kartor/S 1998-2025 karta.png", "S 1998-2025")</f>
        <v/>
      </c>
      <c r="Y22">
        <f>HYPERLINK("https://klasma.github.io/Logging_1435/kartor_geotiff/S 1998-2025 georefererad karta.tif", "S 1998-2025")</f>
        <v/>
      </c>
      <c r="AA22">
        <f>HYPERLINK("https://klasma.github.io/Logging_1435/klagomål/S 1998-2025 FSC-klagomål.docx", "S 1998-2025")</f>
        <v/>
      </c>
      <c r="AB22">
        <f>HYPERLINK("https://klasma.github.io/Logging_1435/klagomålsmail/S 1998-2025 FSC-klagomål mail.docx", "S 1998-2025")</f>
        <v/>
      </c>
      <c r="AC22">
        <f>HYPERLINK("https://klasma.github.io/Logging_1435/tillsyn/S 1998-2025 tillsynsbegäran.docx", "S 1998-2025")</f>
        <v/>
      </c>
      <c r="AD22">
        <f>HYPERLINK("https://klasma.github.io/Logging_1435/tillsynsmail/S 1998-2025 tillsynsbegäran mail.docx", "S 1998-2025")</f>
        <v/>
      </c>
    </row>
    <row r="23" ht="15" customHeight="1">
      <c r="A23" t="inlineStr">
        <is>
          <t>A 10043-2022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44621</v>
      </c>
      <c r="E23" s="1" t="n">
        <v>46312</v>
      </c>
      <c r="F23" t="inlineStr">
        <is>
          <t>VÄSTRA GÖTALANDS LÄN</t>
        </is>
      </c>
      <c r="G23" t="inlineStr">
        <is>
          <t>TANUM</t>
        </is>
      </c>
      <c r="I23" t="n">
        <v>2.1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</v>
      </c>
      <c r="T23" t="n">
        <v>2</v>
      </c>
      <c r="U23" t="n">
        <v>0</v>
      </c>
      <c r="V23" s="2" t="inlineStr">
        <is>
          <t>Nattskärra
Tjäder</t>
        </is>
      </c>
      <c r="W23">
        <f>HYPERLINK("https://klasma.github.io/Logging_1435/artfynd/A 10043-2022 artfynd.xlsx", "A 10043-2022")</f>
        <v/>
      </c>
      <c r="X23">
        <f>HYPERLINK("https://klasma.github.io/Logging_1435/kartor/A 10043-2022 karta.png", "A 10043-2022")</f>
        <v/>
      </c>
      <c r="Y23">
        <f>HYPERLINK("https://klasma.github.io/Logging_1435/kartor_geotiff/A 10043-2022 georefererad karta.tif", "A 10043-2022")</f>
        <v/>
      </c>
      <c r="AA23">
        <f>HYPERLINK("https://klasma.github.io/Logging_1435/klagomål/A 10043-2022 FSC-klagomål.docx", "A 10043-2022")</f>
        <v/>
      </c>
      <c r="AB23">
        <f>HYPERLINK("https://klasma.github.io/Logging_1435/klagomålsmail/A 10043-2022 FSC-klagomål mail.docx", "A 10043-2022")</f>
        <v/>
      </c>
      <c r="AC23">
        <f>HYPERLINK("https://klasma.github.io/Logging_1435/tillsyn/A 10043-2022 tillsynsbegäran.docx", "A 10043-2022")</f>
        <v/>
      </c>
      <c r="AD23">
        <f>HYPERLINK("https://klasma.github.io/Logging_1435/tillsynsmail/A 10043-2022 tillsynsbegäran mail.docx", "A 10043-2022")</f>
        <v/>
      </c>
      <c r="AE23">
        <f>HYPERLINK("https://klasma.github.io/Logging_1435/fåglar/A 10043-2022 prioriterade fågelarter.docx", "A 10043-2022")</f>
        <v/>
      </c>
    </row>
    <row r="24" ht="15" customHeight="1">
      <c r="A24" t="inlineStr">
        <is>
          <t>A 20799-2026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46141</v>
      </c>
      <c r="E24" s="1" t="n">
        <v>46312</v>
      </c>
      <c r="F24" t="inlineStr">
        <is>
          <t>VÄSTRA GÖTALANDS LÄN</t>
        </is>
      </c>
      <c r="G24" t="inlineStr">
        <is>
          <t>TANUM</t>
        </is>
      </c>
      <c r="I24" t="n">
        <v>4.9</v>
      </c>
      <c r="J24" t="n">
        <v>0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</v>
      </c>
      <c r="T24" t="n">
        <v>2</v>
      </c>
      <c r="U24" t="n">
        <v>0</v>
      </c>
      <c r="V24" s="2" t="inlineStr">
        <is>
          <t>Blåmossa
Rödgul trumpetsvamp</t>
        </is>
      </c>
      <c r="W24">
        <f>HYPERLINK("https://klasma.github.io/Logging_1435/artfynd/A 20799-2026 artfynd.xlsx", "A 20799-2026")</f>
        <v/>
      </c>
      <c r="X24">
        <f>HYPERLINK("https://klasma.github.io/Logging_1435/kartor/A 20799-2026 karta.png", "A 20799-2026")</f>
        <v/>
      </c>
      <c r="Y24">
        <f>HYPERLINK("https://klasma.github.io/Logging_1435/kartor_geotiff/A 20799-2026 georefererad karta.tif", "A 20799-2026")</f>
        <v/>
      </c>
      <c r="AA24">
        <f>HYPERLINK("https://klasma.github.io/Logging_1435/klagomål/A 20799-2026 FSC-klagomål.docx", "A 20799-2026")</f>
        <v/>
      </c>
      <c r="AB24">
        <f>HYPERLINK("https://klasma.github.io/Logging_1435/klagomålsmail/A 20799-2026 FSC-klagomål mail.docx", "A 20799-2026")</f>
        <v/>
      </c>
      <c r="AC24">
        <f>HYPERLINK("https://klasma.github.io/Logging_1435/tillsyn/A 20799-2026 tillsynsbegäran.docx", "A 20799-2026")</f>
        <v/>
      </c>
      <c r="AD24">
        <f>HYPERLINK("https://klasma.github.io/Logging_1435/tillsynsmail/A 20799-2026 tillsynsbegäran mail.docx", "A 20799-2026")</f>
        <v/>
      </c>
    </row>
    <row r="25" ht="15" customHeight="1">
      <c r="A25" t="inlineStr">
        <is>
          <t>A 3497-2024</t>
        </is>
      </c>
      <c r="B25" t="inlineStr">
        <is>
          <t>avverkningsanmälan</t>
        </is>
      </c>
      <c r="C25" t="inlineStr">
        <is>
          <t>Avverkning för annat ändamål</t>
        </is>
      </c>
      <c r="D25" s="1" t="n">
        <v>45317</v>
      </c>
      <c r="E25" s="1" t="n">
        <v>46312</v>
      </c>
      <c r="F25" t="inlineStr">
        <is>
          <t>VÄSTRA GÖTALANDS LÄN</t>
        </is>
      </c>
      <c r="G25" t="inlineStr">
        <is>
          <t>TANUM</t>
        </is>
      </c>
      <c r="I25" t="n">
        <v>0.3</v>
      </c>
      <c r="J25" t="n">
        <v>0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</v>
      </c>
      <c r="T25" t="n">
        <v>4</v>
      </c>
      <c r="U25" t="n">
        <v>4</v>
      </c>
      <c r="V25" s="2" t="inlineStr">
        <is>
          <t>Fällmossa
Västlig hakmossa</t>
        </is>
      </c>
      <c r="W25">
        <f>HYPERLINK("https://klasma.github.io/Logging_1435/artfynd/A 3497-2024 artfynd.xlsx", "A 3497-2024")</f>
        <v/>
      </c>
      <c r="X25">
        <f>HYPERLINK("https://klasma.github.io/Logging_1435/kartor/A 3497-2024 karta.png", "A 3497-2024")</f>
        <v/>
      </c>
      <c r="Y25">
        <f>HYPERLINK("https://klasma.github.io/Logging_1435/kartor_geotiff/A 3497-2024 georefererad karta.tif", "A 3497-2024")</f>
        <v/>
      </c>
      <c r="AA25">
        <f>HYPERLINK("https://klasma.github.io/Logging_1435/klagomål/A 3497-2024 FSC-klagomål.docx", "A 3497-2024")</f>
        <v/>
      </c>
      <c r="AB25">
        <f>HYPERLINK("https://klasma.github.io/Logging_1435/klagomålsmail/A 3497-2024 FSC-klagomål mail.docx", "A 3497-2024")</f>
        <v/>
      </c>
      <c r="AC25">
        <f>HYPERLINK("https://klasma.github.io/Logging_1435/tillsyn/A 3497-2024 tillsynsbegäran.docx", "A 3497-2024")</f>
        <v/>
      </c>
      <c r="AD25">
        <f>HYPERLINK("https://klasma.github.io/Logging_1435/tillsynsmail/A 3497-2024 tillsynsbegäran mail.docx", "A 3497-2024")</f>
        <v/>
      </c>
    </row>
    <row r="26" ht="15" customHeight="1">
      <c r="A26" t="inlineStr">
        <is>
          <t>A 36154-2024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45534</v>
      </c>
      <c r="E26" s="1" t="n">
        <v>46312</v>
      </c>
      <c r="F26" t="inlineStr">
        <is>
          <t>VÄSTRA GÖTALANDS LÄN</t>
        </is>
      </c>
      <c r="G26" t="inlineStr">
        <is>
          <t>TANUM</t>
        </is>
      </c>
      <c r="I26" t="n">
        <v>1.8</v>
      </c>
      <c r="J26" t="n">
        <v>1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2</v>
      </c>
      <c r="T26" t="n">
        <v>3</v>
      </c>
      <c r="U26" t="n">
        <v>3</v>
      </c>
      <c r="V26" s="2" t="inlineStr">
        <is>
          <t>Tretåig hackspett
Rävticka</t>
        </is>
      </c>
      <c r="W26">
        <f>HYPERLINK("https://klasma.github.io/Logging_1435/artfynd/A 36154-2024 artfynd.xlsx", "A 36154-2024")</f>
        <v/>
      </c>
      <c r="X26">
        <f>HYPERLINK("https://klasma.github.io/Logging_1435/kartor/A 36154-2024 karta.png", "A 36154-2024")</f>
        <v/>
      </c>
      <c r="Y26">
        <f>HYPERLINK("https://klasma.github.io/Logging_1435/kartor_geotiff/A 36154-2024 georefererad karta.tif", "A 36154-2024")</f>
        <v/>
      </c>
      <c r="AA26">
        <f>HYPERLINK("https://klasma.github.io/Logging_1435/klagomål/A 36154-2024 FSC-klagomål.docx", "A 36154-2024")</f>
        <v/>
      </c>
      <c r="AB26">
        <f>HYPERLINK("https://klasma.github.io/Logging_1435/klagomålsmail/A 36154-2024 FSC-klagomål mail.docx", "A 36154-2024")</f>
        <v/>
      </c>
      <c r="AC26">
        <f>HYPERLINK("https://klasma.github.io/Logging_1435/tillsyn/A 36154-2024 tillsynsbegäran.docx", "A 36154-2024")</f>
        <v/>
      </c>
      <c r="AD26">
        <f>HYPERLINK("https://klasma.github.io/Logging_1435/tillsynsmail/A 36154-2024 tillsynsbegäran mail.docx", "A 36154-2024")</f>
        <v/>
      </c>
      <c r="AE26">
        <f>HYPERLINK("https://klasma.github.io/Logging_1435/fåglar/A 36154-2024 prioriterade fågelarter.docx", "A 36154-2024")</f>
        <v/>
      </c>
    </row>
    <row r="27" ht="15" customHeight="1">
      <c r="A27" t="inlineStr">
        <is>
          <t>A 63439-2023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45274</v>
      </c>
      <c r="E27" s="1" t="n">
        <v>46312</v>
      </c>
      <c r="F27" t="inlineStr">
        <is>
          <t>VÄSTRA GÖTALANDS LÄN</t>
        </is>
      </c>
      <c r="G27" t="inlineStr">
        <is>
          <t>TANUM</t>
        </is>
      </c>
      <c r="H27" t="inlineStr">
        <is>
          <t>Sveaskog</t>
        </is>
      </c>
      <c r="I27" t="n">
        <v>5.7</v>
      </c>
      <c r="J27" t="n">
        <v>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</v>
      </c>
      <c r="T27" t="n">
        <v>2</v>
      </c>
      <c r="U27" t="n">
        <v>0</v>
      </c>
      <c r="V27" s="2" t="inlineStr">
        <is>
          <t>Lopplummer (aggregat)
Revlummer</t>
        </is>
      </c>
      <c r="W27">
        <f>HYPERLINK("https://klasma.github.io/Logging_1435/artfynd/A 63439-2023 artfynd.xlsx", "A 63439-2023")</f>
        <v/>
      </c>
      <c r="X27">
        <f>HYPERLINK("https://klasma.github.io/Logging_1435/kartor/A 63439-2023 karta.png", "A 63439-2023")</f>
        <v/>
      </c>
      <c r="Y27">
        <f>HYPERLINK("https://klasma.github.io/Logging_1435/kartor_geotiff/A 63439-2023 georefererad karta.tif", "A 63439-2023")</f>
        <v/>
      </c>
      <c r="AA27">
        <f>HYPERLINK("https://klasma.github.io/Logging_1435/klagomål/A 63439-2023 FSC-klagomål.docx", "A 63439-2023")</f>
        <v/>
      </c>
      <c r="AB27">
        <f>HYPERLINK("https://klasma.github.io/Logging_1435/klagomålsmail/A 63439-2023 FSC-klagomål mail.docx", "A 63439-2023")</f>
        <v/>
      </c>
      <c r="AC27">
        <f>HYPERLINK("https://klasma.github.io/Logging_1435/tillsyn/A 63439-2023 tillsynsbegäran.docx", "A 63439-2023")</f>
        <v/>
      </c>
      <c r="AD27">
        <f>HYPERLINK("https://klasma.github.io/Logging_1435/tillsynsmail/A 63439-2023 tillsynsbegäran mail.docx", "A 63439-2023")</f>
        <v/>
      </c>
    </row>
    <row r="28" ht="15" customHeight="1">
      <c r="A28" t="inlineStr">
        <is>
          <t>A 36779-2026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46272</v>
      </c>
      <c r="E28" s="1" t="n">
        <v>46312</v>
      </c>
      <c r="F28" t="inlineStr">
        <is>
          <t>VÄSTRA GÖTALANDS LÄN</t>
        </is>
      </c>
      <c r="G28" t="inlineStr">
        <is>
          <t>TANUM</t>
        </is>
      </c>
      <c r="I28" t="n">
        <v>2.8</v>
      </c>
      <c r="J28" t="n">
        <v>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</v>
      </c>
      <c r="T28" t="n">
        <v>2</v>
      </c>
      <c r="U28" t="n">
        <v>0</v>
      </c>
      <c r="V28" s="2" t="inlineStr">
        <is>
          <t>Lopplummer (aggregat)
Revlummer</t>
        </is>
      </c>
      <c r="W28">
        <f>HYPERLINK("https://klasma.github.io/Logging_1435/artfynd/A 36779-2026 artfynd.xlsx", "A 36779-2026")</f>
        <v/>
      </c>
      <c r="X28">
        <f>HYPERLINK("https://klasma.github.io/Logging_1435/kartor/A 36779-2026 karta.png", "A 36779-2026")</f>
        <v/>
      </c>
      <c r="Y28">
        <f>HYPERLINK("https://klasma.github.io/Logging_1435/kartor_geotiff/A 36779-2026 georefererad karta.tif", "A 36779-2026")</f>
        <v/>
      </c>
      <c r="AA28">
        <f>HYPERLINK("https://klasma.github.io/Logging_1435/klagomål/A 36779-2026 FSC-klagomål.docx", "A 36779-2026")</f>
        <v/>
      </c>
      <c r="AB28">
        <f>HYPERLINK("https://klasma.github.io/Logging_1435/klagomålsmail/A 36779-2026 FSC-klagomål mail.docx", "A 36779-2026")</f>
        <v/>
      </c>
      <c r="AC28">
        <f>HYPERLINK("https://klasma.github.io/Logging_1435/tillsyn/A 36779-2026 tillsynsbegäran.docx", "A 36779-2026")</f>
        <v/>
      </c>
      <c r="AD28">
        <f>HYPERLINK("https://klasma.github.io/Logging_1435/tillsynsmail/A 36779-2026 tillsynsbegäran mail.docx", "A 36779-2026")</f>
        <v/>
      </c>
    </row>
    <row r="29" ht="15" customHeight="1">
      <c r="A29" t="inlineStr">
        <is>
          <t>A 8586-2022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44613</v>
      </c>
      <c r="E29" s="1" t="n">
        <v>46312</v>
      </c>
      <c r="F29" t="inlineStr">
        <is>
          <t>VÄSTRA GÖTALANDS LÄN</t>
        </is>
      </c>
      <c r="G29" t="inlineStr">
        <is>
          <t>TANUM</t>
        </is>
      </c>
      <c r="I29" t="n">
        <v>0.9</v>
      </c>
      <c r="J29" t="n">
        <v>1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2</v>
      </c>
      <c r="T29" t="n">
        <v>2</v>
      </c>
      <c r="U29" t="n">
        <v>2</v>
      </c>
      <c r="V29" s="2" t="inlineStr">
        <is>
          <t>Vedskivlav
Spillkråka</t>
        </is>
      </c>
      <c r="W29">
        <f>HYPERLINK("https://klasma.github.io/Logging_1435/artfynd/A 8586-2022 artfynd.xlsx", "A 8586-2022")</f>
        <v/>
      </c>
      <c r="X29">
        <f>HYPERLINK("https://klasma.github.io/Logging_1435/kartor/A 8586-2022 karta.png", "A 8586-2022")</f>
        <v/>
      </c>
      <c r="Y29">
        <f>HYPERLINK("https://klasma.github.io/Logging_1435/kartor_geotiff/A 8586-2022 georefererad karta.tif", "A 8586-2022")</f>
        <v/>
      </c>
      <c r="AA29">
        <f>HYPERLINK("https://klasma.github.io/Logging_1435/klagomål/A 8586-2022 FSC-klagomål.docx", "A 8586-2022")</f>
        <v/>
      </c>
      <c r="AB29">
        <f>HYPERLINK("https://klasma.github.io/Logging_1435/klagomålsmail/A 8586-2022 FSC-klagomål mail.docx", "A 8586-2022")</f>
        <v/>
      </c>
      <c r="AC29">
        <f>HYPERLINK("https://klasma.github.io/Logging_1435/tillsyn/A 8586-2022 tillsynsbegäran.docx", "A 8586-2022")</f>
        <v/>
      </c>
      <c r="AD29">
        <f>HYPERLINK("https://klasma.github.io/Logging_1435/tillsynsmail/A 8586-2022 tillsynsbegäran mail.docx", "A 8586-2022")</f>
        <v/>
      </c>
      <c r="AE29">
        <f>HYPERLINK("https://klasma.github.io/Logging_1435/fåglar/A 8586-2022 prioriterade fågelarter.docx", "A 8586-2022")</f>
        <v/>
      </c>
    </row>
    <row r="30" ht="15" customHeight="1">
      <c r="A30" t="inlineStr">
        <is>
          <t>A 64484-2021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44511</v>
      </c>
      <c r="E30" s="1" t="n">
        <v>46312</v>
      </c>
      <c r="F30" t="inlineStr">
        <is>
          <t>VÄSTRA GÖTALANDS LÄN</t>
        </is>
      </c>
      <c r="G30" t="inlineStr">
        <is>
          <t>TANUM</t>
        </is>
      </c>
      <c r="I30" t="n">
        <v>0.4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s="2" t="inlineStr">
        <is>
          <t>Slåttergubbe</t>
        </is>
      </c>
      <c r="W30">
        <f>HYPERLINK("https://klasma.github.io/Logging_1435/artfynd/A 64484-2021 artfynd.xlsx", "A 64484-2021")</f>
        <v/>
      </c>
      <c r="X30">
        <f>HYPERLINK("https://klasma.github.io/Logging_1435/kartor/A 64484-2021 karta.png", "A 64484-2021")</f>
        <v/>
      </c>
      <c r="Y30">
        <f>HYPERLINK("https://klasma.github.io/Logging_1435/kartor_geotiff/A 64484-2021 georefererad karta.tif", "A 64484-2021")</f>
        <v/>
      </c>
      <c r="AA30">
        <f>HYPERLINK("https://klasma.github.io/Logging_1435/klagomål/A 64484-2021 FSC-klagomål.docx", "A 64484-2021")</f>
        <v/>
      </c>
      <c r="AB30">
        <f>HYPERLINK("https://klasma.github.io/Logging_1435/klagomålsmail/A 64484-2021 FSC-klagomål mail.docx", "A 64484-2021")</f>
        <v/>
      </c>
      <c r="AC30">
        <f>HYPERLINK("https://klasma.github.io/Logging_1435/tillsyn/A 64484-2021 tillsynsbegäran.docx", "A 64484-2021")</f>
        <v/>
      </c>
      <c r="AD30">
        <f>HYPERLINK("https://klasma.github.io/Logging_1435/tillsynsmail/A 64484-2021 tillsynsbegäran mail.docx", "A 64484-2021")</f>
        <v/>
      </c>
    </row>
    <row r="31" ht="15" customHeight="1">
      <c r="A31" t="inlineStr">
        <is>
          <t>A 24093-2022</t>
        </is>
      </c>
      <c r="B31" t="inlineStr">
        <is>
          <t>avverkningsanmälan</t>
        </is>
      </c>
      <c r="C31" t="inlineStr">
        <is>
          <t>Avverkning för annat ändamål</t>
        </is>
      </c>
      <c r="D31" s="1" t="n">
        <v>44725</v>
      </c>
      <c r="E31" s="1" t="n">
        <v>46312</v>
      </c>
      <c r="F31" t="inlineStr">
        <is>
          <t>VÄSTRA GÖTALANDS LÄN</t>
        </is>
      </c>
      <c r="G31" t="inlineStr">
        <is>
          <t>TANUM</t>
        </is>
      </c>
      <c r="I31" t="n">
        <v>0.7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1</v>
      </c>
      <c r="U31" t="n">
        <v>1</v>
      </c>
      <c r="V31" s="2" t="inlineStr">
        <is>
          <t>Fläcknycklar</t>
        </is>
      </c>
      <c r="W31">
        <f>HYPERLINK("https://klasma.github.io/Logging_1435/artfynd/A 24093-2022 artfynd.xlsx", "A 24093-2022")</f>
        <v/>
      </c>
      <c r="X31">
        <f>HYPERLINK("https://klasma.github.io/Logging_1435/kartor/A 24093-2022 karta.png", "A 24093-2022")</f>
        <v/>
      </c>
      <c r="Y31">
        <f>HYPERLINK("https://klasma.github.io/Logging_1435/kartor_geotiff/A 24093-2022 georefererad karta.tif", "A 24093-2022")</f>
        <v/>
      </c>
      <c r="AA31">
        <f>HYPERLINK("https://klasma.github.io/Logging_1435/klagomål/A 24093-2022 FSC-klagomål.docx", "A 24093-2022")</f>
        <v/>
      </c>
      <c r="AB31">
        <f>HYPERLINK("https://klasma.github.io/Logging_1435/klagomålsmail/A 24093-2022 FSC-klagomål mail.docx", "A 24093-2022")</f>
        <v/>
      </c>
      <c r="AC31">
        <f>HYPERLINK("https://klasma.github.io/Logging_1435/tillsyn/A 24093-2022 tillsynsbegäran.docx", "A 24093-2022")</f>
        <v/>
      </c>
      <c r="AD31">
        <f>HYPERLINK("https://klasma.github.io/Logging_1435/tillsynsmail/A 24093-2022 tillsynsbegäran mail.docx", "A 24093-2022")</f>
        <v/>
      </c>
    </row>
    <row r="32" ht="15" customHeight="1">
      <c r="A32" t="inlineStr">
        <is>
          <t>A 24090-2022</t>
        </is>
      </c>
      <c r="B32" t="inlineStr">
        <is>
          <t>avverkningsanmälan</t>
        </is>
      </c>
      <c r="C32" t="inlineStr">
        <is>
          <t>Avverkning för annat ändamål</t>
        </is>
      </c>
      <c r="D32" s="1" t="n">
        <v>44725</v>
      </c>
      <c r="E32" s="1" t="n">
        <v>46312</v>
      </c>
      <c r="F32" t="inlineStr">
        <is>
          <t>VÄSTRA GÖTALANDS LÄN</t>
        </is>
      </c>
      <c r="G32" t="inlineStr">
        <is>
          <t>TANUM</t>
        </is>
      </c>
      <c r="I32" t="n">
        <v>3.7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s="2" t="inlineStr">
        <is>
          <t>Skogsalm</t>
        </is>
      </c>
      <c r="W32">
        <f>HYPERLINK("https://klasma.github.io/Logging_1435/artfynd/A 24090-2022 artfynd.xlsx", "A 24090-2022")</f>
        <v/>
      </c>
      <c r="X32">
        <f>HYPERLINK("https://klasma.github.io/Logging_1435/kartor/A 24090-2022 karta.png", "A 24090-2022")</f>
        <v/>
      </c>
      <c r="Y32">
        <f>HYPERLINK("https://klasma.github.io/Logging_1435/kartor_geotiff/A 24090-2022 georefererad karta.tif", "A 24090-2022")</f>
        <v/>
      </c>
      <c r="AA32">
        <f>HYPERLINK("https://klasma.github.io/Logging_1435/klagomål/A 24090-2022 FSC-klagomål.docx", "A 24090-2022")</f>
        <v/>
      </c>
      <c r="AB32">
        <f>HYPERLINK("https://klasma.github.io/Logging_1435/klagomålsmail/A 24090-2022 FSC-klagomål mail.docx", "A 24090-2022")</f>
        <v/>
      </c>
      <c r="AC32">
        <f>HYPERLINK("https://klasma.github.io/Logging_1435/tillsyn/A 24090-2022 tillsynsbegäran.docx", "A 24090-2022")</f>
        <v/>
      </c>
      <c r="AD32">
        <f>HYPERLINK("https://klasma.github.io/Logging_1435/tillsynsmail/A 24090-2022 tillsynsbegäran mail.docx", "A 24090-2022")</f>
        <v/>
      </c>
    </row>
    <row r="33" ht="15" customHeight="1">
      <c r="A33" t="inlineStr">
        <is>
          <t>A 46044-2023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45196</v>
      </c>
      <c r="E33" s="1" t="n">
        <v>46312</v>
      </c>
      <c r="F33" t="inlineStr">
        <is>
          <t>VÄSTRA GÖTALANDS LÄN</t>
        </is>
      </c>
      <c r="G33" t="inlineStr">
        <is>
          <t>TANUM</t>
        </is>
      </c>
      <c r="I33" t="n">
        <v>33.6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1</v>
      </c>
      <c r="U33" t="n">
        <v>1</v>
      </c>
      <c r="V33" s="2" t="inlineStr">
        <is>
          <t>Korallblylav</t>
        </is>
      </c>
      <c r="W33">
        <f>HYPERLINK("https://klasma.github.io/Logging_1435/artfynd/A 46044-2023 artfynd.xlsx", "A 46044-2023")</f>
        <v/>
      </c>
      <c r="X33">
        <f>HYPERLINK("https://klasma.github.io/Logging_1435/kartor/A 46044-2023 karta.png", "A 46044-2023")</f>
        <v/>
      </c>
      <c r="Y33">
        <f>HYPERLINK("https://klasma.github.io/Logging_1435/kartor_geotiff/A 46044-2023 georefererad karta.tif", "A 46044-2023")</f>
        <v/>
      </c>
      <c r="AA33">
        <f>HYPERLINK("https://klasma.github.io/Logging_1435/klagomål/A 46044-2023 FSC-klagomål.docx", "A 46044-2023")</f>
        <v/>
      </c>
      <c r="AB33">
        <f>HYPERLINK("https://klasma.github.io/Logging_1435/klagomålsmail/A 46044-2023 FSC-klagomål mail.docx", "A 46044-2023")</f>
        <v/>
      </c>
      <c r="AC33">
        <f>HYPERLINK("https://klasma.github.io/Logging_1435/tillsyn/A 46044-2023 tillsynsbegäran.docx", "A 46044-2023")</f>
        <v/>
      </c>
      <c r="AD33">
        <f>HYPERLINK("https://klasma.github.io/Logging_1435/tillsynsmail/A 46044-2023 tillsynsbegäran mail.docx", "A 46044-2023")</f>
        <v/>
      </c>
    </row>
    <row r="34" ht="15" customHeight="1">
      <c r="A34" t="inlineStr">
        <is>
          <t>A 19343-2025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45769</v>
      </c>
      <c r="E34" s="1" t="n">
        <v>46312</v>
      </c>
      <c r="F34" t="inlineStr">
        <is>
          <t>VÄSTRA GÖTALANDS LÄN</t>
        </is>
      </c>
      <c r="G34" t="inlineStr">
        <is>
          <t>TANUM</t>
        </is>
      </c>
      <c r="I34" t="n">
        <v>1.1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1</v>
      </c>
      <c r="U34" t="n">
        <v>0</v>
      </c>
      <c r="V34" s="2" t="inlineStr">
        <is>
          <t>Spindelblomster</t>
        </is>
      </c>
      <c r="W34">
        <f>HYPERLINK("https://klasma.github.io/Logging_1435/artfynd/A 19343-2025 artfynd.xlsx", "A 19343-2025")</f>
        <v/>
      </c>
      <c r="X34">
        <f>HYPERLINK("https://klasma.github.io/Logging_1435/kartor/A 19343-2025 karta.png", "A 19343-2025")</f>
        <v/>
      </c>
      <c r="Y34">
        <f>HYPERLINK("https://klasma.github.io/Logging_1435/kartor_geotiff/A 19343-2025 georefererad karta.tif", "A 19343-2025")</f>
        <v/>
      </c>
      <c r="AA34">
        <f>HYPERLINK("https://klasma.github.io/Logging_1435/klagomål/A 19343-2025 FSC-klagomål.docx", "A 19343-2025")</f>
        <v/>
      </c>
      <c r="AB34">
        <f>HYPERLINK("https://klasma.github.io/Logging_1435/klagomålsmail/A 19343-2025 FSC-klagomål mail.docx", "A 19343-2025")</f>
        <v/>
      </c>
      <c r="AC34">
        <f>HYPERLINK("https://klasma.github.io/Logging_1435/tillsyn/A 19343-2025 tillsynsbegäran.docx", "A 19343-2025")</f>
        <v/>
      </c>
      <c r="AD34">
        <f>HYPERLINK("https://klasma.github.io/Logging_1435/tillsynsmail/A 19343-2025 tillsynsbegäran mail.docx", "A 19343-2025")</f>
        <v/>
      </c>
    </row>
    <row r="35" ht="15" customHeight="1">
      <c r="A35" t="inlineStr">
        <is>
          <t>A 53397-2022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44879</v>
      </c>
      <c r="E35" s="1" t="n">
        <v>46312</v>
      </c>
      <c r="F35" t="inlineStr">
        <is>
          <t>VÄSTRA GÖTALANDS LÄN</t>
        </is>
      </c>
      <c r="G35" t="inlineStr">
        <is>
          <t>TANUM</t>
        </is>
      </c>
      <c r="I35" t="n">
        <v>7.4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1</v>
      </c>
      <c r="T35" t="n">
        <v>1</v>
      </c>
      <c r="U35" t="n">
        <v>1</v>
      </c>
      <c r="V35" s="2" t="inlineStr">
        <is>
          <t>Tretåig hackspett</t>
        </is>
      </c>
      <c r="W35">
        <f>HYPERLINK("https://klasma.github.io/Logging_1435/artfynd/A 53397-2022 artfynd.xlsx", "A 53397-2022")</f>
        <v/>
      </c>
      <c r="X35">
        <f>HYPERLINK("https://klasma.github.io/Logging_1435/kartor/A 53397-2022 karta.png", "A 53397-2022")</f>
        <v/>
      </c>
      <c r="Y35">
        <f>HYPERLINK("https://klasma.github.io/Logging_1435/kartor_geotiff/A 53397-2022 georefererad karta.tif", "A 53397-2022")</f>
        <v/>
      </c>
      <c r="AA35">
        <f>HYPERLINK("https://klasma.github.io/Logging_1435/klagomål/A 53397-2022 FSC-klagomål.docx", "A 53397-2022")</f>
        <v/>
      </c>
      <c r="AB35">
        <f>HYPERLINK("https://klasma.github.io/Logging_1435/klagomålsmail/A 53397-2022 FSC-klagomål mail.docx", "A 53397-2022")</f>
        <v/>
      </c>
      <c r="AC35">
        <f>HYPERLINK("https://klasma.github.io/Logging_1435/tillsyn/A 53397-2022 tillsynsbegäran.docx", "A 53397-2022")</f>
        <v/>
      </c>
      <c r="AD35">
        <f>HYPERLINK("https://klasma.github.io/Logging_1435/tillsynsmail/A 53397-2022 tillsynsbegäran mail.docx", "A 53397-2022")</f>
        <v/>
      </c>
      <c r="AE35">
        <f>HYPERLINK("https://klasma.github.io/Logging_1435/fåglar/A 53397-2022 prioriterade fågelarter.docx", "A 53397-2022")</f>
        <v/>
      </c>
    </row>
    <row r="36" ht="15" customHeight="1">
      <c r="A36" t="inlineStr">
        <is>
          <t>A 57566-2023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45246</v>
      </c>
      <c r="E36" s="1" t="n">
        <v>46312</v>
      </c>
      <c r="F36" t="inlineStr">
        <is>
          <t>VÄSTRA GÖTALANDS LÄN</t>
        </is>
      </c>
      <c r="G36" t="inlineStr">
        <is>
          <t>TANUM</t>
        </is>
      </c>
      <c r="I36" t="n">
        <v>1.5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1</v>
      </c>
      <c r="S36" t="n">
        <v>1</v>
      </c>
      <c r="T36" t="n">
        <v>1</v>
      </c>
      <c r="U36" t="n">
        <v>0</v>
      </c>
      <c r="V36" s="2" t="inlineStr">
        <is>
          <t>Hasselsnok</t>
        </is>
      </c>
      <c r="W36">
        <f>HYPERLINK("https://klasma.github.io/Logging_1435/artfynd/A 57566-2023 artfynd.xlsx", "A 57566-2023")</f>
        <v/>
      </c>
      <c r="X36">
        <f>HYPERLINK("https://klasma.github.io/Logging_1435/kartor/A 57566-2023 karta.png", "A 57566-2023")</f>
        <v/>
      </c>
      <c r="Y36">
        <f>HYPERLINK("https://klasma.github.io/Logging_1435/kartor_geotiff/A 57566-2023 georefererad karta.tif", "A 57566-2023")</f>
        <v/>
      </c>
      <c r="AA36">
        <f>HYPERLINK("https://klasma.github.io/Logging_1435/klagomål/A 57566-2023 FSC-klagomål.docx", "A 57566-2023")</f>
        <v/>
      </c>
      <c r="AB36">
        <f>HYPERLINK("https://klasma.github.io/Logging_1435/klagomålsmail/A 57566-2023 FSC-klagomål mail.docx", "A 57566-2023")</f>
        <v/>
      </c>
      <c r="AC36">
        <f>HYPERLINK("https://klasma.github.io/Logging_1435/tillsyn/A 57566-2023 tillsynsbegäran.docx", "A 57566-2023")</f>
        <v/>
      </c>
      <c r="AD36">
        <f>HYPERLINK("https://klasma.github.io/Logging_1435/tillsynsmail/A 57566-2023 tillsynsbegäran mail.docx", "A 57566-2023")</f>
        <v/>
      </c>
    </row>
    <row r="37" ht="15" customHeight="1">
      <c r="A37" t="inlineStr">
        <is>
          <t>A 9698-2024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45362</v>
      </c>
      <c r="E37" s="1" t="n">
        <v>46312</v>
      </c>
      <c r="F37" t="inlineStr">
        <is>
          <t>VÄSTRA GÖTALANDS LÄN</t>
        </is>
      </c>
      <c r="G37" t="inlineStr">
        <is>
          <t>TANUM</t>
        </is>
      </c>
      <c r="H37" t="inlineStr">
        <is>
          <t>Kyrkan</t>
        </is>
      </c>
      <c r="I37" t="n">
        <v>2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1</v>
      </c>
      <c r="U37" t="n">
        <v>0</v>
      </c>
      <c r="V37" s="2" t="inlineStr">
        <is>
          <t>Springkorn</t>
        </is>
      </c>
      <c r="W37">
        <f>HYPERLINK("https://klasma.github.io/Logging_1435/artfynd/A 9698-2024 artfynd.xlsx", "A 9698-2024")</f>
        <v/>
      </c>
      <c r="X37">
        <f>HYPERLINK("https://klasma.github.io/Logging_1435/kartor/A 9698-2024 karta.png", "A 9698-2024")</f>
        <v/>
      </c>
      <c r="Y37">
        <f>HYPERLINK("https://klasma.github.io/Logging_1435/kartor_geotiff/A 9698-2024 georefererad karta.tif", "A 9698-2024")</f>
        <v/>
      </c>
      <c r="AA37">
        <f>HYPERLINK("https://klasma.github.io/Logging_1435/klagomål/A 9698-2024 FSC-klagomål.docx", "A 9698-2024")</f>
        <v/>
      </c>
      <c r="AB37">
        <f>HYPERLINK("https://klasma.github.io/Logging_1435/klagomålsmail/A 9698-2024 FSC-klagomål mail.docx", "A 9698-2024")</f>
        <v/>
      </c>
      <c r="AC37">
        <f>HYPERLINK("https://klasma.github.io/Logging_1435/tillsyn/A 9698-2024 tillsynsbegäran.docx", "A 9698-2024")</f>
        <v/>
      </c>
      <c r="AD37">
        <f>HYPERLINK("https://klasma.github.io/Logging_1435/tillsynsmail/A 9698-2024 tillsynsbegäran mail.docx", "A 9698-2024")</f>
        <v/>
      </c>
    </row>
    <row r="38" ht="15" customHeight="1">
      <c r="A38" t="inlineStr">
        <is>
          <t>A 10764-2025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45722</v>
      </c>
      <c r="E38" s="1" t="n">
        <v>46312</v>
      </c>
      <c r="F38" t="inlineStr">
        <is>
          <t>VÄSTRA GÖTALANDS LÄN</t>
        </is>
      </c>
      <c r="G38" t="inlineStr">
        <is>
          <t>TANUM</t>
        </is>
      </c>
      <c r="I38" t="n">
        <v>12.6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</v>
      </c>
      <c r="U38" t="n">
        <v>1</v>
      </c>
      <c r="V38" s="2" t="inlineStr">
        <is>
          <t>Spindelblomster</t>
        </is>
      </c>
      <c r="W38">
        <f>HYPERLINK("https://klasma.github.io/Logging_1435/artfynd/A 10764-2025 artfynd.xlsx", "A 10764-2025")</f>
        <v/>
      </c>
      <c r="X38">
        <f>HYPERLINK("https://klasma.github.io/Logging_1435/kartor/A 10764-2025 karta.png", "A 10764-2025")</f>
        <v/>
      </c>
      <c r="Y38">
        <f>HYPERLINK("https://klasma.github.io/Logging_1435/kartor_geotiff/A 10764-2025 georefererad karta.tif", "A 10764-2025")</f>
        <v/>
      </c>
      <c r="AA38">
        <f>HYPERLINK("https://klasma.github.io/Logging_1435/klagomål/A 10764-2025 FSC-klagomål.docx", "A 10764-2025")</f>
        <v/>
      </c>
      <c r="AB38">
        <f>HYPERLINK("https://klasma.github.io/Logging_1435/klagomålsmail/A 10764-2025 FSC-klagomål mail.docx", "A 10764-2025")</f>
        <v/>
      </c>
      <c r="AC38">
        <f>HYPERLINK("https://klasma.github.io/Logging_1435/tillsyn/A 10764-2025 tillsynsbegäran.docx", "A 10764-2025")</f>
        <v/>
      </c>
      <c r="AD38">
        <f>HYPERLINK("https://klasma.github.io/Logging_1435/tillsynsmail/A 10764-2025 tillsynsbegäran mail.docx", "A 10764-2025")</f>
        <v/>
      </c>
    </row>
    <row r="39" ht="15" customHeight="1">
      <c r="A39" t="inlineStr">
        <is>
          <t>A 125-2025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45649</v>
      </c>
      <c r="E39" s="1" t="n">
        <v>46312</v>
      </c>
      <c r="F39" t="inlineStr">
        <is>
          <t>VÄSTRA GÖTALANDS LÄN</t>
        </is>
      </c>
      <c r="G39" t="inlineStr">
        <is>
          <t>TANUM</t>
        </is>
      </c>
      <c r="I39" t="n">
        <v>2.3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1</v>
      </c>
      <c r="T39" t="n">
        <v>1</v>
      </c>
      <c r="U39" t="n">
        <v>1</v>
      </c>
      <c r="V39" s="2" t="inlineStr">
        <is>
          <t>Stallört</t>
        </is>
      </c>
      <c r="W39">
        <f>HYPERLINK("https://klasma.github.io/Logging_1435/artfynd/A 125-2025 artfynd.xlsx", "A 125-2025")</f>
        <v/>
      </c>
      <c r="X39">
        <f>HYPERLINK("https://klasma.github.io/Logging_1435/kartor/A 125-2025 karta.png", "A 125-2025")</f>
        <v/>
      </c>
      <c r="Y39">
        <f>HYPERLINK("https://klasma.github.io/Logging_1435/kartor_geotiff/A 125-2025 georefererad karta.tif", "A 125-2025")</f>
        <v/>
      </c>
      <c r="AA39">
        <f>HYPERLINK("https://klasma.github.io/Logging_1435/klagomål/A 125-2025 FSC-klagomål.docx", "A 125-2025")</f>
        <v/>
      </c>
      <c r="AB39">
        <f>HYPERLINK("https://klasma.github.io/Logging_1435/klagomålsmail/A 125-2025 FSC-klagomål mail.docx", "A 125-2025")</f>
        <v/>
      </c>
      <c r="AC39">
        <f>HYPERLINK("https://klasma.github.io/Logging_1435/tillsyn/A 125-2025 tillsynsbegäran.docx", "A 125-2025")</f>
        <v/>
      </c>
      <c r="AD39">
        <f>HYPERLINK("https://klasma.github.io/Logging_1435/tillsynsmail/A 125-2025 tillsynsbegäran mail.docx", "A 125-2025")</f>
        <v/>
      </c>
    </row>
    <row r="40" ht="15" customHeight="1">
      <c r="A40" t="inlineStr">
        <is>
          <t>A 23151-2022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44719</v>
      </c>
      <c r="E40" s="1" t="n">
        <v>46312</v>
      </c>
      <c r="F40" t="inlineStr">
        <is>
          <t>VÄSTRA GÖTALANDS LÄN</t>
        </is>
      </c>
      <c r="G40" t="inlineStr">
        <is>
          <t>TANUM</t>
        </is>
      </c>
      <c r="I40" t="n">
        <v>4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2</v>
      </c>
      <c r="U40" t="n">
        <v>1</v>
      </c>
      <c r="V40" s="2" t="inlineStr">
        <is>
          <t>Blåsippa</t>
        </is>
      </c>
      <c r="W40">
        <f>HYPERLINK("https://klasma.github.io/Logging_1435/artfynd/A 23151-2022 artfynd.xlsx", "A 23151-2022")</f>
        <v/>
      </c>
      <c r="X40">
        <f>HYPERLINK("https://klasma.github.io/Logging_1435/kartor/A 23151-2022 karta.png", "A 23151-2022")</f>
        <v/>
      </c>
      <c r="Y40">
        <f>HYPERLINK("https://klasma.github.io/Logging_1435/kartor_geotiff/A 23151-2022 georefererad karta.tif", "A 23151-2022")</f>
        <v/>
      </c>
      <c r="AA40">
        <f>HYPERLINK("https://klasma.github.io/Logging_1435/klagomål/A 23151-2022 FSC-klagomål.docx", "A 23151-2022")</f>
        <v/>
      </c>
      <c r="AB40">
        <f>HYPERLINK("https://klasma.github.io/Logging_1435/klagomålsmail/A 23151-2022 FSC-klagomål mail.docx", "A 23151-2022")</f>
        <v/>
      </c>
      <c r="AC40">
        <f>HYPERLINK("https://klasma.github.io/Logging_1435/tillsyn/A 23151-2022 tillsynsbegäran.docx", "A 23151-2022")</f>
        <v/>
      </c>
      <c r="AD40">
        <f>HYPERLINK("https://klasma.github.io/Logging_1435/tillsynsmail/A 23151-2022 tillsynsbegäran mail.docx", "A 23151-2022")</f>
        <v/>
      </c>
    </row>
    <row r="41" ht="15" customHeight="1">
      <c r="A41" t="inlineStr">
        <is>
          <t>A 39358-2025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45889</v>
      </c>
      <c r="E41" s="1" t="n">
        <v>46312</v>
      </c>
      <c r="F41" t="inlineStr">
        <is>
          <t>VÄSTRA GÖTALANDS LÄN</t>
        </is>
      </c>
      <c r="G41" t="inlineStr">
        <is>
          <t>TANUM</t>
        </is>
      </c>
      <c r="I41" t="n">
        <v>1.6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1</v>
      </c>
      <c r="T41" t="n">
        <v>1</v>
      </c>
      <c r="U41" t="n">
        <v>0</v>
      </c>
      <c r="V41" s="2" t="inlineStr">
        <is>
          <t>Åkerkulla</t>
        </is>
      </c>
      <c r="W41">
        <f>HYPERLINK("https://klasma.github.io/Logging_1435/artfynd/A 39358-2025 artfynd.xlsx", "A 39358-2025")</f>
        <v/>
      </c>
      <c r="X41">
        <f>HYPERLINK("https://klasma.github.io/Logging_1435/kartor/A 39358-2025 karta.png", "A 39358-2025")</f>
        <v/>
      </c>
      <c r="Y41">
        <f>HYPERLINK("https://klasma.github.io/Logging_1435/kartor_geotiff/A 39358-2025 georefererad karta.tif", "A 39358-2025")</f>
        <v/>
      </c>
      <c r="AA41">
        <f>HYPERLINK("https://klasma.github.io/Logging_1435/klagomål/A 39358-2025 FSC-klagomål.docx", "A 39358-2025")</f>
        <v/>
      </c>
      <c r="AB41">
        <f>HYPERLINK("https://klasma.github.io/Logging_1435/klagomålsmail/A 39358-2025 FSC-klagomål mail.docx", "A 39358-2025")</f>
        <v/>
      </c>
      <c r="AC41">
        <f>HYPERLINK("https://klasma.github.io/Logging_1435/tillsyn/A 39358-2025 tillsynsbegäran.docx", "A 39358-2025")</f>
        <v/>
      </c>
      <c r="AD41">
        <f>HYPERLINK("https://klasma.github.io/Logging_1435/tillsynsmail/A 39358-2025 tillsynsbegäran mail.docx", "A 39358-2025")</f>
        <v/>
      </c>
    </row>
    <row r="42" ht="15" customHeight="1">
      <c r="A42" t="inlineStr">
        <is>
          <t>A 23197-2026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46161</v>
      </c>
      <c r="E42" s="1" t="n">
        <v>46312</v>
      </c>
      <c r="F42" t="inlineStr">
        <is>
          <t>VÄSTRA GÖTALANDS LÄN</t>
        </is>
      </c>
      <c r="G42" t="inlineStr">
        <is>
          <t>TANUM</t>
        </is>
      </c>
      <c r="I42" t="n">
        <v>1.4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</v>
      </c>
      <c r="U42" t="n">
        <v>0</v>
      </c>
      <c r="V42" s="2" t="inlineStr">
        <is>
          <t>Mattlummer</t>
        </is>
      </c>
      <c r="W42">
        <f>HYPERLINK("https://klasma.github.io/Logging_1435/artfynd/A 23197-2026 artfynd.xlsx", "A 23197-2026")</f>
        <v/>
      </c>
      <c r="X42">
        <f>HYPERLINK("https://klasma.github.io/Logging_1435/kartor/A 23197-2026 karta.png", "A 23197-2026")</f>
        <v/>
      </c>
      <c r="Y42">
        <f>HYPERLINK("https://klasma.github.io/Logging_1435/kartor_geotiff/A 23197-2026 georefererad karta.tif", "A 23197-2026")</f>
        <v/>
      </c>
      <c r="AA42">
        <f>HYPERLINK("https://klasma.github.io/Logging_1435/klagomål/A 23197-2026 FSC-klagomål.docx", "A 23197-2026")</f>
        <v/>
      </c>
      <c r="AB42">
        <f>HYPERLINK("https://klasma.github.io/Logging_1435/klagomålsmail/A 23197-2026 FSC-klagomål mail.docx", "A 23197-2026")</f>
        <v/>
      </c>
      <c r="AC42">
        <f>HYPERLINK("https://klasma.github.io/Logging_1435/tillsyn/A 23197-2026 tillsynsbegäran.docx", "A 23197-2026")</f>
        <v/>
      </c>
      <c r="AD42">
        <f>HYPERLINK("https://klasma.github.io/Logging_1435/tillsynsmail/A 23197-2026 tillsynsbegäran mail.docx", "A 23197-2026")</f>
        <v/>
      </c>
    </row>
    <row r="43" ht="15" customHeight="1">
      <c r="A43" t="inlineStr">
        <is>
          <t>A 57972-2025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45982</v>
      </c>
      <c r="E43" s="1" t="n">
        <v>46312</v>
      </c>
      <c r="F43" t="inlineStr">
        <is>
          <t>VÄSTRA GÖTALANDS LÄN</t>
        </is>
      </c>
      <c r="G43" t="inlineStr">
        <is>
          <t>TANUM</t>
        </is>
      </c>
      <c r="H43" t="inlineStr">
        <is>
          <t>Kyrkan</t>
        </is>
      </c>
      <c r="I43" t="n">
        <v>2.5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</v>
      </c>
      <c r="U43" t="n">
        <v>1</v>
      </c>
      <c r="V43" s="2" t="inlineStr">
        <is>
          <t>Tjäder</t>
        </is>
      </c>
      <c r="W43">
        <f>HYPERLINK("https://klasma.github.io/Logging_1435/artfynd/A 57972-2025 artfynd.xlsx", "A 57972-2025")</f>
        <v/>
      </c>
      <c r="X43">
        <f>HYPERLINK("https://klasma.github.io/Logging_1435/kartor/A 57972-2025 karta.png", "A 57972-2025")</f>
        <v/>
      </c>
      <c r="Y43">
        <f>HYPERLINK("https://klasma.github.io/Logging_1435/kartor_geotiff/A 57972-2025 georefererad karta.tif", "A 57972-2025")</f>
        <v/>
      </c>
      <c r="AA43">
        <f>HYPERLINK("https://klasma.github.io/Logging_1435/klagomål/A 57972-2025 FSC-klagomål.docx", "A 57972-2025")</f>
        <v/>
      </c>
      <c r="AB43">
        <f>HYPERLINK("https://klasma.github.io/Logging_1435/klagomålsmail/A 57972-2025 FSC-klagomål mail.docx", "A 57972-2025")</f>
        <v/>
      </c>
      <c r="AC43">
        <f>HYPERLINK("https://klasma.github.io/Logging_1435/tillsyn/A 57972-2025 tillsynsbegäran.docx", "A 57972-2025")</f>
        <v/>
      </c>
      <c r="AD43">
        <f>HYPERLINK("https://klasma.github.io/Logging_1435/tillsynsmail/A 57972-2025 tillsynsbegäran mail.docx", "A 57972-2025")</f>
        <v/>
      </c>
      <c r="AE43">
        <f>HYPERLINK("https://klasma.github.io/Logging_1435/fåglar/A 57972-2025 prioriterade fågelarter.docx", "A 57972-2025")</f>
        <v/>
      </c>
    </row>
    <row r="44" ht="15" customHeight="1">
      <c r="A44" t="inlineStr">
        <is>
          <t>A 54814-2023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45236</v>
      </c>
      <c r="E44" s="1" t="n">
        <v>46312</v>
      </c>
      <c r="F44" t="inlineStr">
        <is>
          <t>VÄSTRA GÖTALANDS LÄN</t>
        </is>
      </c>
      <c r="G44" t="inlineStr">
        <is>
          <t>TANUM</t>
        </is>
      </c>
      <c r="I44" t="n">
        <v>1.1</v>
      </c>
      <c r="J44" t="n">
        <v>1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1</v>
      </c>
      <c r="T44" t="n">
        <v>1</v>
      </c>
      <c r="U44" t="n">
        <v>1</v>
      </c>
      <c r="V44" s="2" t="inlineStr">
        <is>
          <t>Tretåig hackspett</t>
        </is>
      </c>
      <c r="W44">
        <f>HYPERLINK("https://klasma.github.io/Logging_1435/artfynd/A 54814-2023 artfynd.xlsx", "A 54814-2023")</f>
        <v/>
      </c>
      <c r="X44">
        <f>HYPERLINK("https://klasma.github.io/Logging_1435/kartor/A 54814-2023 karta.png", "A 54814-2023")</f>
        <v/>
      </c>
      <c r="Y44">
        <f>HYPERLINK("https://klasma.github.io/Logging_1435/kartor_geotiff/A 54814-2023 georefererad karta.tif", "A 54814-2023")</f>
        <v/>
      </c>
      <c r="AA44">
        <f>HYPERLINK("https://klasma.github.io/Logging_1435/klagomål/A 54814-2023 FSC-klagomål.docx", "A 54814-2023")</f>
        <v/>
      </c>
      <c r="AB44">
        <f>HYPERLINK("https://klasma.github.io/Logging_1435/klagomålsmail/A 54814-2023 FSC-klagomål mail.docx", "A 54814-2023")</f>
        <v/>
      </c>
      <c r="AC44">
        <f>HYPERLINK("https://klasma.github.io/Logging_1435/tillsyn/A 54814-2023 tillsynsbegäran.docx", "A 54814-2023")</f>
        <v/>
      </c>
      <c r="AD44">
        <f>HYPERLINK("https://klasma.github.io/Logging_1435/tillsynsmail/A 54814-2023 tillsynsbegäran mail.docx", "A 54814-2023")</f>
        <v/>
      </c>
      <c r="AE44">
        <f>HYPERLINK("https://klasma.github.io/Logging_1435/fåglar/A 54814-2023 prioriterade fågelarter.docx", "A 54814-2023")</f>
        <v/>
      </c>
    </row>
    <row r="45" ht="15" customHeight="1">
      <c r="A45" t="inlineStr">
        <is>
          <t>A 9276-2026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46070</v>
      </c>
      <c r="E45" s="1" t="n">
        <v>46312</v>
      </c>
      <c r="F45" t="inlineStr">
        <is>
          <t>VÄSTRA GÖTALANDS LÄN</t>
        </is>
      </c>
      <c r="G45" t="inlineStr">
        <is>
          <t>TANUM</t>
        </is>
      </c>
      <c r="I45" t="n">
        <v>4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1</v>
      </c>
      <c r="T45" t="n">
        <v>1</v>
      </c>
      <c r="U45" t="n">
        <v>0</v>
      </c>
      <c r="V45" s="2" t="inlineStr">
        <is>
          <t>Svinrot</t>
        </is>
      </c>
      <c r="W45">
        <f>HYPERLINK("https://klasma.github.io/Logging_1435/artfynd/A 9276-2026 artfynd.xlsx", "A 9276-2026")</f>
        <v/>
      </c>
      <c r="X45">
        <f>HYPERLINK("https://klasma.github.io/Logging_1435/kartor/A 9276-2026 karta.png", "A 9276-2026")</f>
        <v/>
      </c>
      <c r="Y45">
        <f>HYPERLINK("https://klasma.github.io/Logging_1435/kartor_geotiff/A 9276-2026 georefererad karta.tif", "A 9276-2026")</f>
        <v/>
      </c>
      <c r="AA45">
        <f>HYPERLINK("https://klasma.github.io/Logging_1435/klagomål/A 9276-2026 FSC-klagomål.docx", "A 9276-2026")</f>
        <v/>
      </c>
      <c r="AB45">
        <f>HYPERLINK("https://klasma.github.io/Logging_1435/klagomålsmail/A 9276-2026 FSC-klagomål mail.docx", "A 9276-2026")</f>
        <v/>
      </c>
      <c r="AC45">
        <f>HYPERLINK("https://klasma.github.io/Logging_1435/tillsyn/A 9276-2026 tillsynsbegäran.docx", "A 9276-2026")</f>
        <v/>
      </c>
      <c r="AD45">
        <f>HYPERLINK("https://klasma.github.io/Logging_1435/tillsynsmail/A 9276-2026 tillsynsbegäran mail.docx", "A 9276-2026")</f>
        <v/>
      </c>
    </row>
    <row r="46" ht="15" customHeight="1">
      <c r="A46" t="inlineStr">
        <is>
          <t>A 14821-2026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46103</v>
      </c>
      <c r="E46" s="1" t="n">
        <v>46312</v>
      </c>
      <c r="F46" t="inlineStr">
        <is>
          <t>VÄSTRA GÖTALANDS LÄN</t>
        </is>
      </c>
      <c r="G46" t="inlineStr">
        <is>
          <t>TANUM</t>
        </is>
      </c>
      <c r="I46" t="n">
        <v>2.9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1</v>
      </c>
      <c r="S46" t="n">
        <v>1</v>
      </c>
      <c r="T46" t="n">
        <v>1</v>
      </c>
      <c r="U46" t="n">
        <v>0</v>
      </c>
      <c r="V46" s="2" t="inlineStr">
        <is>
          <t>Knärot</t>
        </is>
      </c>
      <c r="W46">
        <f>HYPERLINK("https://klasma.github.io/Logging_1435/artfynd/A 14821-2026 artfynd.xlsx", "A 14821-2026")</f>
        <v/>
      </c>
      <c r="X46">
        <f>HYPERLINK("https://klasma.github.io/Logging_1435/kartor/A 14821-2026 karta.png", "A 14821-2026")</f>
        <v/>
      </c>
      <c r="Y46">
        <f>HYPERLINK("https://klasma.github.io/Logging_1435/kartor_geotiff/A 14821-2026 georefererad karta.tif", "A 14821-2026")</f>
        <v/>
      </c>
      <c r="Z46">
        <f>HYPERLINK("https://klasma.github.io/Logging_1435/knärot/A 14821-2026 karta knärot.png", "A 14821-2026")</f>
        <v/>
      </c>
      <c r="AA46">
        <f>HYPERLINK("https://klasma.github.io/Logging_1435/klagomål/A 14821-2026 FSC-klagomål.docx", "A 14821-2026")</f>
        <v/>
      </c>
      <c r="AB46">
        <f>HYPERLINK("https://klasma.github.io/Logging_1435/klagomålsmail/A 14821-2026 FSC-klagomål mail.docx", "A 14821-2026")</f>
        <v/>
      </c>
      <c r="AC46">
        <f>HYPERLINK("https://klasma.github.io/Logging_1435/tillsyn/A 14821-2026 tillsynsbegäran.docx", "A 14821-2026")</f>
        <v/>
      </c>
      <c r="AD46">
        <f>HYPERLINK("https://klasma.github.io/Logging_1435/tillsynsmail/A 14821-2026 tillsynsbegäran mail.docx", "A 14821-2026")</f>
        <v/>
      </c>
    </row>
    <row r="47" ht="15" customHeight="1">
      <c r="A47" t="inlineStr">
        <is>
          <t>A 57965-2023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45247</v>
      </c>
      <c r="E47" s="1" t="n">
        <v>46312</v>
      </c>
      <c r="F47" t="inlineStr">
        <is>
          <t>VÄSTRA GÖTALANDS LÄN</t>
        </is>
      </c>
      <c r="G47" t="inlineStr">
        <is>
          <t>TANUM</t>
        </is>
      </c>
      <c r="I47" t="n">
        <v>10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1</v>
      </c>
      <c r="S47" t="n">
        <v>1</v>
      </c>
      <c r="T47" t="n">
        <v>1</v>
      </c>
      <c r="U47" t="n">
        <v>0</v>
      </c>
      <c r="V47" s="2" t="inlineStr">
        <is>
          <t>Slåttergubbe</t>
        </is>
      </c>
      <c r="W47">
        <f>HYPERLINK("https://klasma.github.io/Logging_1435/artfynd/A 57965-2023 artfynd.xlsx", "A 57965-2023")</f>
        <v/>
      </c>
      <c r="X47">
        <f>HYPERLINK("https://klasma.github.io/Logging_1435/kartor/A 57965-2023 karta.png", "A 57965-2023")</f>
        <v/>
      </c>
      <c r="Y47">
        <f>HYPERLINK("https://klasma.github.io/Logging_1435/kartor_geotiff/A 57965-2023 georefererad karta.tif", "A 57965-2023")</f>
        <v/>
      </c>
      <c r="AA47">
        <f>HYPERLINK("https://klasma.github.io/Logging_1435/klagomål/A 57965-2023 FSC-klagomål.docx", "A 57965-2023")</f>
        <v/>
      </c>
      <c r="AB47">
        <f>HYPERLINK("https://klasma.github.io/Logging_1435/klagomålsmail/A 57965-2023 FSC-klagomål mail.docx", "A 57965-2023")</f>
        <v/>
      </c>
      <c r="AC47">
        <f>HYPERLINK("https://klasma.github.io/Logging_1435/tillsyn/A 57965-2023 tillsynsbegäran.docx", "A 57965-2023")</f>
        <v/>
      </c>
      <c r="AD47">
        <f>HYPERLINK("https://klasma.github.io/Logging_1435/tillsynsmail/A 57965-2023 tillsynsbegäran mail.docx", "A 57965-2023")</f>
        <v/>
      </c>
    </row>
    <row r="48" ht="15" customHeight="1">
      <c r="A48" t="inlineStr">
        <is>
          <t>A 13437-2024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45387</v>
      </c>
      <c r="E48" s="1" t="n">
        <v>46312</v>
      </c>
      <c r="F48" t="inlineStr">
        <is>
          <t>VÄSTRA GÖTALANDS LÄN</t>
        </is>
      </c>
      <c r="G48" t="inlineStr">
        <is>
          <t>TANUM</t>
        </is>
      </c>
      <c r="I48" t="n">
        <v>0.5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1</v>
      </c>
      <c r="U48" t="n">
        <v>0</v>
      </c>
      <c r="V48" s="2" t="inlineStr">
        <is>
          <t>Mattlummer</t>
        </is>
      </c>
      <c r="W48">
        <f>HYPERLINK("https://klasma.github.io/Logging_1435/artfynd/A 13437-2024 artfynd.xlsx", "A 13437-2024")</f>
        <v/>
      </c>
      <c r="X48">
        <f>HYPERLINK("https://klasma.github.io/Logging_1435/kartor/A 13437-2024 karta.png", "A 13437-2024")</f>
        <v/>
      </c>
      <c r="Y48">
        <f>HYPERLINK("https://klasma.github.io/Logging_1435/kartor_geotiff/A 13437-2024 georefererad karta.tif", "A 13437-2024")</f>
        <v/>
      </c>
      <c r="AA48">
        <f>HYPERLINK("https://klasma.github.io/Logging_1435/klagomål/A 13437-2024 FSC-klagomål.docx", "A 13437-2024")</f>
        <v/>
      </c>
      <c r="AB48">
        <f>HYPERLINK("https://klasma.github.io/Logging_1435/klagomålsmail/A 13437-2024 FSC-klagomål mail.docx", "A 13437-2024")</f>
        <v/>
      </c>
      <c r="AC48">
        <f>HYPERLINK("https://klasma.github.io/Logging_1435/tillsyn/A 13437-2024 tillsynsbegäran.docx", "A 13437-2024")</f>
        <v/>
      </c>
      <c r="AD48">
        <f>HYPERLINK("https://klasma.github.io/Logging_1435/tillsynsmail/A 13437-2024 tillsynsbegäran mail.docx", "A 13437-2024")</f>
        <v/>
      </c>
    </row>
    <row r="49" ht="15" customHeight="1">
      <c r="A49" t="inlineStr">
        <is>
          <t>A 4208-2025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45685</v>
      </c>
      <c r="E49" s="1" t="n">
        <v>46312</v>
      </c>
      <c r="F49" t="inlineStr">
        <is>
          <t>VÄSTRA GÖTALANDS LÄN</t>
        </is>
      </c>
      <c r="G49" t="inlineStr">
        <is>
          <t>TANUM</t>
        </is>
      </c>
      <c r="I49" t="n">
        <v>19.3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1</v>
      </c>
      <c r="U49" t="n">
        <v>0</v>
      </c>
      <c r="V49" s="2" t="inlineStr">
        <is>
          <t>Revlummer</t>
        </is>
      </c>
      <c r="W49">
        <f>HYPERLINK("https://klasma.github.io/Logging_1435/artfynd/A 4208-2025 artfynd.xlsx", "A 4208-2025")</f>
        <v/>
      </c>
      <c r="X49">
        <f>HYPERLINK("https://klasma.github.io/Logging_1435/kartor/A 4208-2025 karta.png", "A 4208-2025")</f>
        <v/>
      </c>
      <c r="Y49">
        <f>HYPERLINK("https://klasma.github.io/Logging_1435/kartor_geotiff/A 4208-2025 georefererad karta.tif", "A 4208-2025")</f>
        <v/>
      </c>
      <c r="AA49">
        <f>HYPERLINK("https://klasma.github.io/Logging_1435/klagomål/A 4208-2025 FSC-klagomål.docx", "A 4208-2025")</f>
        <v/>
      </c>
      <c r="AB49">
        <f>HYPERLINK("https://klasma.github.io/Logging_1435/klagomålsmail/A 4208-2025 FSC-klagomål mail.docx", "A 4208-2025")</f>
        <v/>
      </c>
      <c r="AC49">
        <f>HYPERLINK("https://klasma.github.io/Logging_1435/tillsyn/A 4208-2025 tillsynsbegäran.docx", "A 4208-2025")</f>
        <v/>
      </c>
      <c r="AD49">
        <f>HYPERLINK("https://klasma.github.io/Logging_1435/tillsynsmail/A 4208-2025 tillsynsbegäran mail.docx", "A 4208-2025")</f>
        <v/>
      </c>
    </row>
    <row r="50" ht="15" customHeight="1">
      <c r="A50" t="inlineStr">
        <is>
          <t>A 23149-2025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45791</v>
      </c>
      <c r="E50" s="1" t="n">
        <v>46312</v>
      </c>
      <c r="F50" t="inlineStr">
        <is>
          <t>VÄSTRA GÖTALANDS LÄN</t>
        </is>
      </c>
      <c r="G50" t="inlineStr">
        <is>
          <t>TANUM</t>
        </is>
      </c>
      <c r="I50" t="n">
        <v>9.9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1</v>
      </c>
      <c r="U50" t="n">
        <v>1</v>
      </c>
      <c r="V50" s="2" t="inlineStr">
        <is>
          <t>Lopplummer (aggregat)</t>
        </is>
      </c>
      <c r="W50">
        <f>HYPERLINK("https://klasma.github.io/Logging_1435/artfynd/A 23149-2025 artfynd.xlsx", "A 23149-2025")</f>
        <v/>
      </c>
      <c r="X50">
        <f>HYPERLINK("https://klasma.github.io/Logging_1435/kartor/A 23149-2025 karta.png", "A 23149-2025")</f>
        <v/>
      </c>
      <c r="Y50">
        <f>HYPERLINK("https://klasma.github.io/Logging_1435/kartor_geotiff/A 23149-2025 georefererad karta.tif", "A 23149-2025")</f>
        <v/>
      </c>
      <c r="AA50">
        <f>HYPERLINK("https://klasma.github.io/Logging_1435/klagomål/A 23149-2025 FSC-klagomål.docx", "A 23149-2025")</f>
        <v/>
      </c>
      <c r="AB50">
        <f>HYPERLINK("https://klasma.github.io/Logging_1435/klagomålsmail/A 23149-2025 FSC-klagomål mail.docx", "A 23149-2025")</f>
        <v/>
      </c>
      <c r="AC50">
        <f>HYPERLINK("https://klasma.github.io/Logging_1435/tillsyn/A 23149-2025 tillsynsbegäran.docx", "A 23149-2025")</f>
        <v/>
      </c>
      <c r="AD50">
        <f>HYPERLINK("https://klasma.github.io/Logging_1435/tillsynsmail/A 23149-2025 tillsynsbegäran mail.docx", "A 23149-2025")</f>
        <v/>
      </c>
    </row>
    <row r="51" ht="15" customHeight="1">
      <c r="A51" t="inlineStr">
        <is>
          <t>A 42461-2026</t>
        </is>
      </c>
      <c r="B51" t="inlineStr">
        <is>
          <t>avverkningsanmälan</t>
        </is>
      </c>
      <c r="C51" t="inlineStr">
        <is>
          <t>Avverkning för annat ändamål</t>
        </is>
      </c>
      <c r="D51" s="1" t="n">
        <v>46308</v>
      </c>
      <c r="E51" s="1" t="n">
        <v>46312</v>
      </c>
      <c r="F51" t="inlineStr">
        <is>
          <t>VÄSTRA GÖTALANDS LÄN</t>
        </is>
      </c>
      <c r="G51" t="inlineStr">
        <is>
          <t>TANUM</t>
        </is>
      </c>
      <c r="I51" t="n">
        <v>3.6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1</v>
      </c>
      <c r="U51" t="n">
        <v>0</v>
      </c>
      <c r="V51" s="2" t="inlineStr">
        <is>
          <t>Blåmossa</t>
        </is>
      </c>
      <c r="W51">
        <f>HYPERLINK("https://klasma.github.io/Logging_1435/artfynd/A 42461-2026 artfynd.xlsx", "A 42461-2026")</f>
        <v/>
      </c>
      <c r="X51">
        <f>HYPERLINK("https://klasma.github.io/Logging_1435/kartor/A 42461-2026 karta.png", "A 42461-2026")</f>
        <v/>
      </c>
      <c r="Y51">
        <f>HYPERLINK("https://klasma.github.io/Logging_1435/kartor_geotiff/A 42461-2026 georefererad karta.tif", "A 42461-2026")</f>
        <v/>
      </c>
      <c r="AA51">
        <f>HYPERLINK("https://klasma.github.io/Logging_1435/klagomål/A 42461-2026 FSC-klagomål.docx", "A 42461-2026")</f>
        <v/>
      </c>
      <c r="AB51">
        <f>HYPERLINK("https://klasma.github.io/Logging_1435/klagomålsmail/A 42461-2026 FSC-klagomål mail.docx", "A 42461-2026")</f>
        <v/>
      </c>
      <c r="AC51">
        <f>HYPERLINK("https://klasma.github.io/Logging_1435/tillsyn/A 42461-2026 tillsynsbegäran.docx", "A 42461-2026")</f>
        <v/>
      </c>
      <c r="AD51">
        <f>HYPERLINK("https://klasma.github.io/Logging_1435/tillsynsmail/A 42461-2026 tillsynsbegäran mail.docx", "A 42461-2026")</f>
        <v/>
      </c>
    </row>
    <row r="52" ht="15" customHeight="1">
      <c r="A52" t="inlineStr">
        <is>
          <t>A 36121-2025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45866</v>
      </c>
      <c r="E52" s="1" t="n">
        <v>46312</v>
      </c>
      <c r="F52" t="inlineStr">
        <is>
          <t>VÄSTRA GÖTALANDS LÄN</t>
        </is>
      </c>
      <c r="G52" t="inlineStr">
        <is>
          <t>TANUM</t>
        </is>
      </c>
      <c r="I52" t="n">
        <v>3.3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1</v>
      </c>
      <c r="U52" t="n">
        <v>0</v>
      </c>
      <c r="V52" s="2" t="inlineStr">
        <is>
          <t>Blåsippa</t>
        </is>
      </c>
      <c r="W52">
        <f>HYPERLINK("https://klasma.github.io/Logging_1435/artfynd/A 36121-2025 artfynd.xlsx", "A 36121-2025")</f>
        <v/>
      </c>
      <c r="X52">
        <f>HYPERLINK("https://klasma.github.io/Logging_1435/kartor/A 36121-2025 karta.png", "A 36121-2025")</f>
        <v/>
      </c>
      <c r="Y52">
        <f>HYPERLINK("https://klasma.github.io/Logging_1435/kartor_geotiff/A 36121-2025 georefererad karta.tif", "A 36121-2025")</f>
        <v/>
      </c>
      <c r="AA52">
        <f>HYPERLINK("https://klasma.github.io/Logging_1435/klagomål/A 36121-2025 FSC-klagomål.docx", "A 36121-2025")</f>
        <v/>
      </c>
      <c r="AB52">
        <f>HYPERLINK("https://klasma.github.io/Logging_1435/klagomålsmail/A 36121-2025 FSC-klagomål mail.docx", "A 36121-2025")</f>
        <v/>
      </c>
      <c r="AC52">
        <f>HYPERLINK("https://klasma.github.io/Logging_1435/tillsyn/A 36121-2025 tillsynsbegäran.docx", "A 36121-2025")</f>
        <v/>
      </c>
      <c r="AD52">
        <f>HYPERLINK("https://klasma.github.io/Logging_1435/tillsynsmail/A 36121-2025 tillsynsbegäran mail.docx", "A 36121-2025")</f>
        <v/>
      </c>
    </row>
    <row r="53" ht="15" customHeight="1">
      <c r="A53" t="inlineStr">
        <is>
          <t>A 63363-2021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44506</v>
      </c>
      <c r="E53" s="1" t="n">
        <v>46312</v>
      </c>
      <c r="F53" t="inlineStr">
        <is>
          <t>VÄSTRA GÖTALANDS LÄN</t>
        </is>
      </c>
      <c r="G53" t="inlineStr">
        <is>
          <t>TANUM</t>
        </is>
      </c>
      <c r="I53" t="n">
        <v>1.2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s="2" t="inlineStr"/>
    </row>
    <row r="54" ht="15" customHeight="1">
      <c r="A54" t="inlineStr">
        <is>
          <t>A 73816-2021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44552</v>
      </c>
      <c r="E54" s="1" t="n">
        <v>46312</v>
      </c>
      <c r="F54" t="inlineStr">
        <is>
          <t>VÄSTRA GÖTALANDS LÄN</t>
        </is>
      </c>
      <c r="G54" t="inlineStr">
        <is>
          <t>TANUM</t>
        </is>
      </c>
      <c r="I54" t="n">
        <v>2.1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s="2" t="inlineStr"/>
    </row>
    <row r="55" ht="15" customHeight="1">
      <c r="A55" t="inlineStr">
        <is>
          <t>A 72228-2021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44544</v>
      </c>
      <c r="E55" s="1" t="n">
        <v>46312</v>
      </c>
      <c r="F55" t="inlineStr">
        <is>
          <t>VÄSTRA GÖTALANDS LÄN</t>
        </is>
      </c>
      <c r="G55" t="inlineStr">
        <is>
          <t>TANUM</t>
        </is>
      </c>
      <c r="I55" t="n">
        <v>2.2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s="2" t="inlineStr"/>
    </row>
    <row r="56" ht="15" customHeight="1">
      <c r="A56" t="inlineStr">
        <is>
          <t>A 6529-2022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44601</v>
      </c>
      <c r="E56" s="1" t="n">
        <v>46312</v>
      </c>
      <c r="F56" t="inlineStr">
        <is>
          <t>VÄSTRA GÖTALANDS LÄN</t>
        </is>
      </c>
      <c r="G56" t="inlineStr">
        <is>
          <t>TANUM</t>
        </is>
      </c>
      <c r="I56" t="n">
        <v>3.6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s="2" t="inlineStr"/>
    </row>
    <row r="57" ht="15" customHeight="1">
      <c r="A57" t="inlineStr">
        <is>
          <t>A 1430-2022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44573</v>
      </c>
      <c r="E57" s="1" t="n">
        <v>46312</v>
      </c>
      <c r="F57" t="inlineStr">
        <is>
          <t>VÄSTRA GÖTALANDS LÄN</t>
        </is>
      </c>
      <c r="G57" t="inlineStr">
        <is>
          <t>TANUM</t>
        </is>
      </c>
      <c r="I57" t="n">
        <v>0.7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s="2" t="inlineStr"/>
    </row>
    <row r="58" ht="15" customHeight="1">
      <c r="A58" t="inlineStr">
        <is>
          <t>A 1441-2022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44573</v>
      </c>
      <c r="E58" s="1" t="n">
        <v>46312</v>
      </c>
      <c r="F58" t="inlineStr">
        <is>
          <t>VÄSTRA GÖTALANDS LÄN</t>
        </is>
      </c>
      <c r="G58" t="inlineStr">
        <is>
          <t>TANUM</t>
        </is>
      </c>
      <c r="I58" t="n">
        <v>0.5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s="2" t="inlineStr"/>
    </row>
    <row r="59" ht="15" customHeight="1">
      <c r="A59" t="inlineStr">
        <is>
          <t>A 5961-2022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44596</v>
      </c>
      <c r="E59" s="1" t="n">
        <v>46312</v>
      </c>
      <c r="F59" t="inlineStr">
        <is>
          <t>VÄSTRA GÖTALANDS LÄN</t>
        </is>
      </c>
      <c r="G59" t="inlineStr">
        <is>
          <t>TANUM</t>
        </is>
      </c>
      <c r="I59" t="n">
        <v>1.9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s="2" t="inlineStr"/>
    </row>
    <row r="60" ht="15" customHeight="1">
      <c r="A60" t="inlineStr">
        <is>
          <t>A 1432-2022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44573</v>
      </c>
      <c r="E60" s="1" t="n">
        <v>46312</v>
      </c>
      <c r="F60" t="inlineStr">
        <is>
          <t>VÄSTRA GÖTALANDS LÄN</t>
        </is>
      </c>
      <c r="G60" t="inlineStr">
        <is>
          <t>TANUM</t>
        </is>
      </c>
      <c r="I60" t="n">
        <v>1.4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s="2" t="inlineStr"/>
    </row>
    <row r="61" ht="15" customHeight="1">
      <c r="A61" t="inlineStr">
        <is>
          <t>A 61618-2021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44501</v>
      </c>
      <c r="E61" s="1" t="n">
        <v>46312</v>
      </c>
      <c r="F61" t="inlineStr">
        <is>
          <t>VÄSTRA GÖTALANDS LÄN</t>
        </is>
      </c>
      <c r="G61" t="inlineStr">
        <is>
          <t>TANUM</t>
        </is>
      </c>
      <c r="I61" t="n">
        <v>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s="2" t="inlineStr"/>
    </row>
    <row r="62" ht="15" customHeight="1">
      <c r="A62" t="inlineStr">
        <is>
          <t>A 49826-2022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44862</v>
      </c>
      <c r="E62" s="1" t="n">
        <v>46312</v>
      </c>
      <c r="F62" t="inlineStr">
        <is>
          <t>VÄSTRA GÖTALANDS LÄN</t>
        </is>
      </c>
      <c r="G62" t="inlineStr">
        <is>
          <t>TANUM</t>
        </is>
      </c>
      <c r="I62" t="n">
        <v>1.3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s="2" t="inlineStr"/>
    </row>
    <row r="63" ht="15" customHeight="1">
      <c r="A63" t="inlineStr">
        <is>
          <t>A 23800-2022</t>
        </is>
      </c>
      <c r="B63" t="inlineStr">
        <is>
          <t>avverkningsanmälan</t>
        </is>
      </c>
      <c r="C63" t="inlineStr">
        <is>
          <t>Avverkning för annat ändamål</t>
        </is>
      </c>
      <c r="D63" s="1" t="n">
        <v>44722</v>
      </c>
      <c r="E63" s="1" t="n">
        <v>46312</v>
      </c>
      <c r="F63" t="inlineStr">
        <is>
          <t>VÄSTRA GÖTALANDS LÄN</t>
        </is>
      </c>
      <c r="G63" t="inlineStr">
        <is>
          <t>TANUM</t>
        </is>
      </c>
      <c r="I63" t="n">
        <v>0.2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inlineStr"/>
    </row>
    <row r="64" ht="15" customHeight="1">
      <c r="A64" t="inlineStr">
        <is>
          <t>A 43715-2022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44837</v>
      </c>
      <c r="E64" s="1" t="n">
        <v>46312</v>
      </c>
      <c r="F64" t="inlineStr">
        <is>
          <t>VÄSTRA GÖTALANDS LÄN</t>
        </is>
      </c>
      <c r="G64" t="inlineStr">
        <is>
          <t>TANUM</t>
        </is>
      </c>
      <c r="I64" t="n">
        <v>2.3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inlineStr"/>
    </row>
    <row r="65" ht="15" customHeight="1">
      <c r="A65" t="inlineStr">
        <is>
          <t>A 26187-2022</t>
        </is>
      </c>
      <c r="B65" t="inlineStr">
        <is>
          <t>avverkningsanmälan</t>
        </is>
      </c>
      <c r="C65" t="inlineStr">
        <is>
          <t>Avverkning för annat ändamål</t>
        </is>
      </c>
      <c r="D65" s="1" t="n">
        <v>44735</v>
      </c>
      <c r="E65" s="1" t="n">
        <v>46312</v>
      </c>
      <c r="F65" t="inlineStr">
        <is>
          <t>VÄSTRA GÖTALANDS LÄN</t>
        </is>
      </c>
      <c r="G65" t="inlineStr">
        <is>
          <t>TANUM</t>
        </is>
      </c>
      <c r="I65" t="n">
        <v>2.4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184-2022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44563</v>
      </c>
      <c r="E66" s="1" t="n">
        <v>46312</v>
      </c>
      <c r="F66" t="inlineStr">
        <is>
          <t>VÄSTRA GÖTALANDS LÄN</t>
        </is>
      </c>
      <c r="G66" t="inlineStr">
        <is>
          <t>TANUM</t>
        </is>
      </c>
      <c r="I66" t="n">
        <v>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63323-2021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44506</v>
      </c>
      <c r="E67" s="1" t="n">
        <v>46312</v>
      </c>
      <c r="F67" t="inlineStr">
        <is>
          <t>VÄSTRA GÖTALANDS LÄN</t>
        </is>
      </c>
      <c r="G67" t="inlineStr">
        <is>
          <t>TANUM</t>
        </is>
      </c>
      <c r="I67" t="n">
        <v>1.3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63341-2021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44506</v>
      </c>
      <c r="E68" s="1" t="n">
        <v>46312</v>
      </c>
      <c r="F68" t="inlineStr">
        <is>
          <t>VÄSTRA GÖTALANDS LÄN</t>
        </is>
      </c>
      <c r="G68" t="inlineStr">
        <is>
          <t>TANUM</t>
        </is>
      </c>
      <c r="I68" t="n">
        <v>0.9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63370-2021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44506</v>
      </c>
      <c r="E69" s="1" t="n">
        <v>46312</v>
      </c>
      <c r="F69" t="inlineStr">
        <is>
          <t>VÄSTRA GÖTALANDS LÄN</t>
        </is>
      </c>
      <c r="G69" t="inlineStr">
        <is>
          <t>TANUM</t>
        </is>
      </c>
      <c r="I69" t="n">
        <v>0.6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1427-2022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44573</v>
      </c>
      <c r="E70" s="1" t="n">
        <v>46312</v>
      </c>
      <c r="F70" t="inlineStr">
        <is>
          <t>VÄSTRA GÖTALANDS LÄN</t>
        </is>
      </c>
      <c r="G70" t="inlineStr">
        <is>
          <t>TANUM</t>
        </is>
      </c>
      <c r="I70" t="n">
        <v>0.6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34213-2022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44791</v>
      </c>
      <c r="E71" s="1" t="n">
        <v>46312</v>
      </c>
      <c r="F71" t="inlineStr">
        <is>
          <t>VÄSTRA GÖTALANDS LÄN</t>
        </is>
      </c>
      <c r="G71" t="inlineStr">
        <is>
          <t>TANUM</t>
        </is>
      </c>
      <c r="I71" t="n">
        <v>1.7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35841-2022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44802</v>
      </c>
      <c r="E72" s="1" t="n">
        <v>46312</v>
      </c>
      <c r="F72" t="inlineStr">
        <is>
          <t>VÄSTRA GÖTALANDS LÄN</t>
        </is>
      </c>
      <c r="G72" t="inlineStr">
        <is>
          <t>TANUM</t>
        </is>
      </c>
      <c r="I72" t="n">
        <v>5.1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25313-2022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44731</v>
      </c>
      <c r="E73" s="1" t="n">
        <v>46312</v>
      </c>
      <c r="F73" t="inlineStr">
        <is>
          <t>VÄSTRA GÖTALANDS LÄN</t>
        </is>
      </c>
      <c r="G73" t="inlineStr">
        <is>
          <t>TANUM</t>
        </is>
      </c>
      <c r="I73" t="n">
        <v>0.4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35929-2022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44802</v>
      </c>
      <c r="E74" s="1" t="n">
        <v>46312</v>
      </c>
      <c r="F74" t="inlineStr">
        <is>
          <t>VÄSTRA GÖTALANDS LÄN</t>
        </is>
      </c>
      <c r="G74" t="inlineStr">
        <is>
          <t>TANUM</t>
        </is>
      </c>
      <c r="I74" t="n">
        <v>0.2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68214-2021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44525</v>
      </c>
      <c r="E75" s="1" t="n">
        <v>46312</v>
      </c>
      <c r="F75" t="inlineStr">
        <is>
          <t>VÄSTRA GÖTALANDS LÄN</t>
        </is>
      </c>
      <c r="G75" t="inlineStr">
        <is>
          <t>TANUM</t>
        </is>
      </c>
      <c r="I75" t="n">
        <v>1.3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35926-2022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44802</v>
      </c>
      <c r="E76" s="1" t="n">
        <v>46312</v>
      </c>
      <c r="F76" t="inlineStr">
        <is>
          <t>VÄSTRA GÖTALANDS LÄN</t>
        </is>
      </c>
      <c r="G76" t="inlineStr">
        <is>
          <t>TANUM</t>
        </is>
      </c>
      <c r="I76" t="n">
        <v>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42088-2022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44830</v>
      </c>
      <c r="E77" s="1" t="n">
        <v>46312</v>
      </c>
      <c r="F77" t="inlineStr">
        <is>
          <t>VÄSTRA GÖTALANDS LÄN</t>
        </is>
      </c>
      <c r="G77" t="inlineStr">
        <is>
          <t>TANUM</t>
        </is>
      </c>
      <c r="I77" t="n">
        <v>2.8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4991-2022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44593</v>
      </c>
      <c r="E78" s="1" t="n">
        <v>46312</v>
      </c>
      <c r="F78" t="inlineStr">
        <is>
          <t>VÄSTRA GÖTALANDS LÄN</t>
        </is>
      </c>
      <c r="G78" t="inlineStr">
        <is>
          <t>TANUM</t>
        </is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39181-2022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44817</v>
      </c>
      <c r="E79" s="1" t="n">
        <v>46312</v>
      </c>
      <c r="F79" t="inlineStr">
        <is>
          <t>VÄSTRA GÖTALANDS LÄN</t>
        </is>
      </c>
      <c r="G79" t="inlineStr">
        <is>
          <t>TANUM</t>
        </is>
      </c>
      <c r="I79" t="n">
        <v>0.7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63333-2021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44506</v>
      </c>
      <c r="E80" s="1" t="n">
        <v>46312</v>
      </c>
      <c r="F80" t="inlineStr">
        <is>
          <t>VÄSTRA GÖTALANDS LÄN</t>
        </is>
      </c>
      <c r="G80" t="inlineStr">
        <is>
          <t>TANUM</t>
        </is>
      </c>
      <c r="I80" t="n">
        <v>1.4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57999-2021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44487</v>
      </c>
      <c r="E81" s="1" t="n">
        <v>46312</v>
      </c>
      <c r="F81" t="inlineStr">
        <is>
          <t>VÄSTRA GÖTALANDS LÄN</t>
        </is>
      </c>
      <c r="G81" t="inlineStr">
        <is>
          <t>TANUM</t>
        </is>
      </c>
      <c r="I81" t="n">
        <v>1.5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63175-2023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45273</v>
      </c>
      <c r="E82" s="1" t="n">
        <v>46312</v>
      </c>
      <c r="F82" t="inlineStr">
        <is>
          <t>VÄSTRA GÖTALANDS LÄN</t>
        </is>
      </c>
      <c r="G82" t="inlineStr">
        <is>
          <t>TANUM</t>
        </is>
      </c>
      <c r="I82" t="n">
        <v>0.8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56378-2022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44890</v>
      </c>
      <c r="E83" s="1" t="n">
        <v>46312</v>
      </c>
      <c r="F83" t="inlineStr">
        <is>
          <t>VÄSTRA GÖTALANDS LÄN</t>
        </is>
      </c>
      <c r="G83" t="inlineStr">
        <is>
          <t>TANUM</t>
        </is>
      </c>
      <c r="I83" t="n">
        <v>6.9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226-2024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45293</v>
      </c>
      <c r="E84" s="1" t="n">
        <v>46312</v>
      </c>
      <c r="F84" t="inlineStr">
        <is>
          <t>VÄSTRA GÖTALANDS LÄN</t>
        </is>
      </c>
      <c r="G84" t="inlineStr">
        <is>
          <t>TANUM</t>
        </is>
      </c>
      <c r="I84" t="n">
        <v>6.2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12343-2023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44999</v>
      </c>
      <c r="E85" s="1" t="n">
        <v>46312</v>
      </c>
      <c r="F85" t="inlineStr">
        <is>
          <t>VÄSTRA GÖTALANDS LÄN</t>
        </is>
      </c>
      <c r="G85" t="inlineStr">
        <is>
          <t>TANUM</t>
        </is>
      </c>
      <c r="I85" t="n">
        <v>0.7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29980-2024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45488</v>
      </c>
      <c r="E86" s="1" t="n">
        <v>46312</v>
      </c>
      <c r="F86" t="inlineStr">
        <is>
          <t>VÄSTRA GÖTALANDS LÄN</t>
        </is>
      </c>
      <c r="G86" t="inlineStr">
        <is>
          <t>TANUM</t>
        </is>
      </c>
      <c r="I86" t="n">
        <v>2.4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59166-2021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44490</v>
      </c>
      <c r="E87" s="1" t="n">
        <v>46312</v>
      </c>
      <c r="F87" t="inlineStr">
        <is>
          <t>VÄSTRA GÖTALANDS LÄN</t>
        </is>
      </c>
      <c r="G87" t="inlineStr">
        <is>
          <t>TANUM</t>
        </is>
      </c>
      <c r="I87" t="n">
        <v>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101-2025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45649</v>
      </c>
      <c r="E88" s="1" t="n">
        <v>46312</v>
      </c>
      <c r="F88" t="inlineStr">
        <is>
          <t>VÄSTRA GÖTALANDS LÄN</t>
        </is>
      </c>
      <c r="G88" t="inlineStr">
        <is>
          <t>TANUM</t>
        </is>
      </c>
      <c r="I88" t="n">
        <v>1.3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48640-2023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45208</v>
      </c>
      <c r="E89" s="1" t="n">
        <v>46312</v>
      </c>
      <c r="F89" t="inlineStr">
        <is>
          <t>VÄSTRA GÖTALANDS LÄN</t>
        </is>
      </c>
      <c r="G89" t="inlineStr">
        <is>
          <t>TANUM</t>
        </is>
      </c>
      <c r="I89" t="n">
        <v>2.8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4362-2023</t>
        </is>
      </c>
      <c r="B90" t="inlineStr">
        <is>
          <t>avverkningsanmälan</t>
        </is>
      </c>
      <c r="C90" t="inlineStr">
        <is>
          <t>Avverkning för annat ändamål</t>
        </is>
      </c>
      <c r="D90" s="1" t="n">
        <v>44954</v>
      </c>
      <c r="E90" s="1" t="n">
        <v>46312</v>
      </c>
      <c r="F90" t="inlineStr">
        <is>
          <t>VÄSTRA GÖTALANDS LÄN</t>
        </is>
      </c>
      <c r="G90" t="inlineStr">
        <is>
          <t>TANUM</t>
        </is>
      </c>
      <c r="I90" t="n">
        <v>1.5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37790-2023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45159</v>
      </c>
      <c r="E91" s="1" t="n">
        <v>46312</v>
      </c>
      <c r="F91" t="inlineStr">
        <is>
          <t>VÄSTRA GÖTALANDS LÄN</t>
        </is>
      </c>
      <c r="G91" t="inlineStr">
        <is>
          <t>TANUM</t>
        </is>
      </c>
      <c r="I91" t="n">
        <v>1.6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60911-2023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45261</v>
      </c>
      <c r="E92" s="1" t="n">
        <v>46312</v>
      </c>
      <c r="F92" t="inlineStr">
        <is>
          <t>VÄSTRA GÖTALANDS LÄN</t>
        </is>
      </c>
      <c r="G92" t="inlineStr">
        <is>
          <t>TANUM</t>
        </is>
      </c>
      <c r="I92" t="n">
        <v>11.3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13386-2023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45005</v>
      </c>
      <c r="E93" s="1" t="n">
        <v>46312</v>
      </c>
      <c r="F93" t="inlineStr">
        <is>
          <t>VÄSTRA GÖTALANDS LÄN</t>
        </is>
      </c>
      <c r="G93" t="inlineStr">
        <is>
          <t>TANUM</t>
        </is>
      </c>
      <c r="I93" t="n">
        <v>2.7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61715-2023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45265</v>
      </c>
      <c r="E94" s="1" t="n">
        <v>46312</v>
      </c>
      <c r="F94" t="inlineStr">
        <is>
          <t>VÄSTRA GÖTALANDS LÄN</t>
        </is>
      </c>
      <c r="G94" t="inlineStr">
        <is>
          <t>TANUM</t>
        </is>
      </c>
      <c r="I94" t="n">
        <v>0.5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8474-2024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45355</v>
      </c>
      <c r="E95" s="1" t="n">
        <v>46312</v>
      </c>
      <c r="F95" t="inlineStr">
        <is>
          <t>VÄSTRA GÖTALANDS LÄN</t>
        </is>
      </c>
      <c r="G95" t="inlineStr">
        <is>
          <t>TANUM</t>
        </is>
      </c>
      <c r="I95" t="n">
        <v>3.3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30632-2023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45102</v>
      </c>
      <c r="E96" s="1" t="n">
        <v>46312</v>
      </c>
      <c r="F96" t="inlineStr">
        <is>
          <t>VÄSTRA GÖTALANDS LÄN</t>
        </is>
      </c>
      <c r="G96" t="inlineStr">
        <is>
          <t>TANUM</t>
        </is>
      </c>
      <c r="I96" t="n">
        <v>0.8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4515-2025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45686</v>
      </c>
      <c r="E97" s="1" t="n">
        <v>46312</v>
      </c>
      <c r="F97" t="inlineStr">
        <is>
          <t>VÄSTRA GÖTALANDS LÄN</t>
        </is>
      </c>
      <c r="G97" t="inlineStr">
        <is>
          <t>TANUM</t>
        </is>
      </c>
      <c r="I97" t="n">
        <v>1.3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12077-2023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44997</v>
      </c>
      <c r="E98" s="1" t="n">
        <v>46312</v>
      </c>
      <c r="F98" t="inlineStr">
        <is>
          <t>VÄSTRA GÖTALANDS LÄN</t>
        </is>
      </c>
      <c r="G98" t="inlineStr">
        <is>
          <t>TANUM</t>
        </is>
      </c>
      <c r="I98" t="n">
        <v>3.1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72227-2021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44544</v>
      </c>
      <c r="E99" s="1" t="n">
        <v>46312</v>
      </c>
      <c r="F99" t="inlineStr">
        <is>
          <t>VÄSTRA GÖTALANDS LÄN</t>
        </is>
      </c>
      <c r="G99" t="inlineStr">
        <is>
          <t>TANUM</t>
        </is>
      </c>
      <c r="I99" t="n">
        <v>2.7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45744-2024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45579</v>
      </c>
      <c r="E100" s="1" t="n">
        <v>46312</v>
      </c>
      <c r="F100" t="inlineStr">
        <is>
          <t>VÄSTRA GÖTALANDS LÄN</t>
        </is>
      </c>
      <c r="G100" t="inlineStr">
        <is>
          <t>TANUM</t>
        </is>
      </c>
      <c r="I100" t="n">
        <v>1.2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7352-2022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44606</v>
      </c>
      <c r="E101" s="1" t="n">
        <v>46312</v>
      </c>
      <c r="F101" t="inlineStr">
        <is>
          <t>VÄSTRA GÖTALANDS LÄN</t>
        </is>
      </c>
      <c r="G101" t="inlineStr">
        <is>
          <t>TANUM</t>
        </is>
      </c>
      <c r="I101" t="n">
        <v>5.9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60624-2021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44496</v>
      </c>
      <c r="E102" s="1" t="n">
        <v>46312</v>
      </c>
      <c r="F102" t="inlineStr">
        <is>
          <t>VÄSTRA GÖTALANDS LÄN</t>
        </is>
      </c>
      <c r="G102" t="inlineStr">
        <is>
          <t>TANUM</t>
        </is>
      </c>
      <c r="I102" t="n">
        <v>2.5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31604-2024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45506</v>
      </c>
      <c r="E103" s="1" t="n">
        <v>46312</v>
      </c>
      <c r="F103" t="inlineStr">
        <is>
          <t>VÄSTRA GÖTALANDS LÄN</t>
        </is>
      </c>
      <c r="G103" t="inlineStr">
        <is>
          <t>TANUM</t>
        </is>
      </c>
      <c r="I103" t="n">
        <v>1.5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31613-2024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45506</v>
      </c>
      <c r="E104" s="1" t="n">
        <v>46312</v>
      </c>
      <c r="F104" t="inlineStr">
        <is>
          <t>VÄSTRA GÖTALANDS LÄN</t>
        </is>
      </c>
      <c r="G104" t="inlineStr">
        <is>
          <t>TANUM</t>
        </is>
      </c>
      <c r="I104" t="n">
        <v>11.9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24880-2023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45085</v>
      </c>
      <c r="E105" s="1" t="n">
        <v>46312</v>
      </c>
      <c r="F105" t="inlineStr">
        <is>
          <t>VÄSTRA GÖTALANDS LÄN</t>
        </is>
      </c>
      <c r="G105" t="inlineStr">
        <is>
          <t>TANUM</t>
        </is>
      </c>
      <c r="I105" t="n">
        <v>0.7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50372-2023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45209</v>
      </c>
      <c r="E106" s="1" t="n">
        <v>46312</v>
      </c>
      <c r="F106" t="inlineStr">
        <is>
          <t>VÄSTRA GÖTALANDS LÄN</t>
        </is>
      </c>
      <c r="G106" t="inlineStr">
        <is>
          <t>TANUM</t>
        </is>
      </c>
      <c r="I106" t="n">
        <v>2.5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50383-2023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45210</v>
      </c>
      <c r="E107" s="1" t="n">
        <v>46312</v>
      </c>
      <c r="F107" t="inlineStr">
        <is>
          <t>VÄSTRA GÖTALANDS LÄN</t>
        </is>
      </c>
      <c r="G107" t="inlineStr">
        <is>
          <t>TANUM</t>
        </is>
      </c>
      <c r="I107" t="n">
        <v>0.5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64990-2021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44514</v>
      </c>
      <c r="E108" s="1" t="n">
        <v>46312</v>
      </c>
      <c r="F108" t="inlineStr">
        <is>
          <t>VÄSTRA GÖTALANDS LÄN</t>
        </is>
      </c>
      <c r="G108" t="inlineStr">
        <is>
          <t>TANUM</t>
        </is>
      </c>
      <c r="I108" t="n">
        <v>2.5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12853-2024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45384</v>
      </c>
      <c r="E109" s="1" t="n">
        <v>46312</v>
      </c>
      <c r="F109" t="inlineStr">
        <is>
          <t>VÄSTRA GÖTALANDS LÄN</t>
        </is>
      </c>
      <c r="G109" t="inlineStr">
        <is>
          <t>TANUM</t>
        </is>
      </c>
      <c r="I109" t="n">
        <v>10.7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55995-2022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44887</v>
      </c>
      <c r="E110" s="1" t="n">
        <v>46312</v>
      </c>
      <c r="F110" t="inlineStr">
        <is>
          <t>VÄSTRA GÖTALANDS LÄN</t>
        </is>
      </c>
      <c r="G110" t="inlineStr">
        <is>
          <t>TANUM</t>
        </is>
      </c>
      <c r="I110" t="n">
        <v>0.8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59506-2024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45637</v>
      </c>
      <c r="E111" s="1" t="n">
        <v>46312</v>
      </c>
      <c r="F111" t="inlineStr">
        <is>
          <t>VÄSTRA GÖTALANDS LÄN</t>
        </is>
      </c>
      <c r="G111" t="inlineStr">
        <is>
          <t>TANUM</t>
        </is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181-2025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45659</v>
      </c>
      <c r="E112" s="1" t="n">
        <v>46312</v>
      </c>
      <c r="F112" t="inlineStr">
        <is>
          <t>VÄSTRA GÖTALANDS LÄN</t>
        </is>
      </c>
      <c r="G112" t="inlineStr">
        <is>
          <t>TANUM</t>
        </is>
      </c>
      <c r="I112" t="n">
        <v>1.5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35720-2022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44799</v>
      </c>
      <c r="E113" s="1" t="n">
        <v>46312</v>
      </c>
      <c r="F113" t="inlineStr">
        <is>
          <t>VÄSTRA GÖTALANDS LÄN</t>
        </is>
      </c>
      <c r="G113" t="inlineStr">
        <is>
          <t>TANUM</t>
        </is>
      </c>
      <c r="I113" t="n">
        <v>7.3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43364-2024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45568</v>
      </c>
      <c r="E114" s="1" t="n">
        <v>46312</v>
      </c>
      <c r="F114" t="inlineStr">
        <is>
          <t>VÄSTRA GÖTALANDS LÄN</t>
        </is>
      </c>
      <c r="G114" t="inlineStr">
        <is>
          <t>TANUM</t>
        </is>
      </c>
      <c r="I114" t="n">
        <v>0.7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39901-2023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45168</v>
      </c>
      <c r="E115" s="1" t="n">
        <v>46312</v>
      </c>
      <c r="F115" t="inlineStr">
        <is>
          <t>VÄSTRA GÖTALANDS LÄN</t>
        </is>
      </c>
      <c r="G115" t="inlineStr">
        <is>
          <t>TANUM</t>
        </is>
      </c>
      <c r="I115" t="n">
        <v>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18398-2024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45425</v>
      </c>
      <c r="E116" s="1" t="n">
        <v>46312</v>
      </c>
      <c r="F116" t="inlineStr">
        <is>
          <t>VÄSTRA GÖTALANDS LÄN</t>
        </is>
      </c>
      <c r="G116" t="inlineStr">
        <is>
          <t>TANUM</t>
        </is>
      </c>
      <c r="H116" t="inlineStr">
        <is>
          <t>Kommuner</t>
        </is>
      </c>
      <c r="I116" t="n">
        <v>1.4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18400-2024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45425</v>
      </c>
      <c r="E117" s="1" t="n">
        <v>46312</v>
      </c>
      <c r="F117" t="inlineStr">
        <is>
          <t>VÄSTRA GÖTALANDS LÄN</t>
        </is>
      </c>
      <c r="G117" t="inlineStr">
        <is>
          <t>TANUM</t>
        </is>
      </c>
      <c r="H117" t="inlineStr">
        <is>
          <t>Kommuner</t>
        </is>
      </c>
      <c r="I117" t="n">
        <v>0.5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34331-2022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44792</v>
      </c>
      <c r="E118" s="1" t="n">
        <v>46312</v>
      </c>
      <c r="F118" t="inlineStr">
        <is>
          <t>VÄSTRA GÖTALANDS LÄN</t>
        </is>
      </c>
      <c r="G118" t="inlineStr">
        <is>
          <t>TANUM</t>
        </is>
      </c>
      <c r="I118" t="n">
        <v>1.7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26508-2022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44739</v>
      </c>
      <c r="E119" s="1" t="n">
        <v>46312</v>
      </c>
      <c r="F119" t="inlineStr">
        <is>
          <t>VÄSTRA GÖTALANDS LÄN</t>
        </is>
      </c>
      <c r="G119" t="inlineStr">
        <is>
          <t>TANUM</t>
        </is>
      </c>
      <c r="I119" t="n">
        <v>0.7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15217-2025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45744</v>
      </c>
      <c r="E120" s="1" t="n">
        <v>46312</v>
      </c>
      <c r="F120" t="inlineStr">
        <is>
          <t>VÄSTRA GÖTALANDS LÄN</t>
        </is>
      </c>
      <c r="G120" t="inlineStr">
        <is>
          <t>TANUM</t>
        </is>
      </c>
      <c r="I120" t="n">
        <v>2.5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35201-2023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45145</v>
      </c>
      <c r="E121" s="1" t="n">
        <v>46312</v>
      </c>
      <c r="F121" t="inlineStr">
        <is>
          <t>VÄSTRA GÖTALANDS LÄN</t>
        </is>
      </c>
      <c r="G121" t="inlineStr">
        <is>
          <t>TANUM</t>
        </is>
      </c>
      <c r="I121" t="n">
        <v>1.1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68161-2021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44526</v>
      </c>
      <c r="E122" s="1" t="n">
        <v>46312</v>
      </c>
      <c r="F122" t="inlineStr">
        <is>
          <t>VÄSTRA GÖTALANDS LÄN</t>
        </is>
      </c>
      <c r="G122" t="inlineStr">
        <is>
          <t>TANUM</t>
        </is>
      </c>
      <c r="I122" t="n">
        <v>10.3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32775-2024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45515</v>
      </c>
      <c r="E123" s="1" t="n">
        <v>46312</v>
      </c>
      <c r="F123" t="inlineStr">
        <is>
          <t>VÄSTRA GÖTALANDS LÄN</t>
        </is>
      </c>
      <c r="G123" t="inlineStr">
        <is>
          <t>TANUM</t>
        </is>
      </c>
      <c r="I123" t="n">
        <v>1.1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697-2024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45300</v>
      </c>
      <c r="E124" s="1" t="n">
        <v>46312</v>
      </c>
      <c r="F124" t="inlineStr">
        <is>
          <t>VÄSTRA GÖTALANDS LÄN</t>
        </is>
      </c>
      <c r="G124" t="inlineStr">
        <is>
          <t>TANUM</t>
        </is>
      </c>
      <c r="I124" t="n">
        <v>5.9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38500-2023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45162</v>
      </c>
      <c r="E125" s="1" t="n">
        <v>46312</v>
      </c>
      <c r="F125" t="inlineStr">
        <is>
          <t>VÄSTRA GÖTALANDS LÄN</t>
        </is>
      </c>
      <c r="G125" t="inlineStr">
        <is>
          <t>TANUM</t>
        </is>
      </c>
      <c r="I125" t="n">
        <v>0.5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49751-2022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44862</v>
      </c>
      <c r="E126" s="1" t="n">
        <v>46312</v>
      </c>
      <c r="F126" t="inlineStr">
        <is>
          <t>VÄSTRA GÖTALANDS LÄN</t>
        </is>
      </c>
      <c r="G126" t="inlineStr">
        <is>
          <t>TANUM</t>
        </is>
      </c>
      <c r="I126" t="n">
        <v>4.5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22434-2024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45446</v>
      </c>
      <c r="E127" s="1" t="n">
        <v>46312</v>
      </c>
      <c r="F127" t="inlineStr">
        <is>
          <t>VÄSTRA GÖTALANDS LÄN</t>
        </is>
      </c>
      <c r="G127" t="inlineStr">
        <is>
          <t>TANUM</t>
        </is>
      </c>
      <c r="I127" t="n">
        <v>7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61236-2024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45645</v>
      </c>
      <c r="E128" s="1" t="n">
        <v>46312</v>
      </c>
      <c r="F128" t="inlineStr">
        <is>
          <t>VÄSTRA GÖTALANDS LÄN</t>
        </is>
      </c>
      <c r="G128" t="inlineStr">
        <is>
          <t>TANUM</t>
        </is>
      </c>
      <c r="I128" t="n">
        <v>0.8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61241-2024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45645</v>
      </c>
      <c r="E129" s="1" t="n">
        <v>46312</v>
      </c>
      <c r="F129" t="inlineStr">
        <is>
          <t>VÄSTRA GÖTALANDS LÄN</t>
        </is>
      </c>
      <c r="G129" t="inlineStr">
        <is>
          <t>TANUM</t>
        </is>
      </c>
      <c r="I129" t="n">
        <v>2.3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32757-2024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45516</v>
      </c>
      <c r="E130" s="1" t="n">
        <v>46312</v>
      </c>
      <c r="F130" t="inlineStr">
        <is>
          <t>VÄSTRA GÖTALANDS LÄN</t>
        </is>
      </c>
      <c r="G130" t="inlineStr">
        <is>
          <t>TANUM</t>
        </is>
      </c>
      <c r="I130" t="n">
        <v>1.3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51825-2022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44872</v>
      </c>
      <c r="E131" s="1" t="n">
        <v>46312</v>
      </c>
      <c r="F131" t="inlineStr">
        <is>
          <t>VÄSTRA GÖTALANDS LÄN</t>
        </is>
      </c>
      <c r="G131" t="inlineStr">
        <is>
          <t>TANUM</t>
        </is>
      </c>
      <c r="I131" t="n">
        <v>2.9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73810-2021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44552</v>
      </c>
      <c r="E132" s="1" t="n">
        <v>46312</v>
      </c>
      <c r="F132" t="inlineStr">
        <is>
          <t>VÄSTRA GÖTALANDS LÄN</t>
        </is>
      </c>
      <c r="G132" t="inlineStr">
        <is>
          <t>TANUM</t>
        </is>
      </c>
      <c r="I132" t="n">
        <v>1.1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55780-2023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45239</v>
      </c>
      <c r="E133" s="1" t="n">
        <v>46312</v>
      </c>
      <c r="F133" t="inlineStr">
        <is>
          <t>VÄSTRA GÖTALANDS LÄN</t>
        </is>
      </c>
      <c r="G133" t="inlineStr">
        <is>
          <t>TANUM</t>
        </is>
      </c>
      <c r="I133" t="n">
        <v>2.2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50796-2023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45211</v>
      </c>
      <c r="E134" s="1" t="n">
        <v>46312</v>
      </c>
      <c r="F134" t="inlineStr">
        <is>
          <t>VÄSTRA GÖTALANDS LÄN</t>
        </is>
      </c>
      <c r="G134" t="inlineStr">
        <is>
          <t>TANUM</t>
        </is>
      </c>
      <c r="I134" t="n">
        <v>0.8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8600-2024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45355</v>
      </c>
      <c r="E135" s="1" t="n">
        <v>46312</v>
      </c>
      <c r="F135" t="inlineStr">
        <is>
          <t>VÄSTRA GÖTALANDS LÄN</t>
        </is>
      </c>
      <c r="G135" t="inlineStr">
        <is>
          <t>TANUM</t>
        </is>
      </c>
      <c r="I135" t="n">
        <v>4.9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50935-2022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44867</v>
      </c>
      <c r="E136" s="1" t="n">
        <v>46312</v>
      </c>
      <c r="F136" t="inlineStr">
        <is>
          <t>VÄSTRA GÖTALANDS LÄN</t>
        </is>
      </c>
      <c r="G136" t="inlineStr">
        <is>
          <t>TANUM</t>
        </is>
      </c>
      <c r="I136" t="n">
        <v>2.2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43864-2023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45187</v>
      </c>
      <c r="E137" s="1" t="n">
        <v>46312</v>
      </c>
      <c r="F137" t="inlineStr">
        <is>
          <t>VÄSTRA GÖTALANDS LÄN</t>
        </is>
      </c>
      <c r="G137" t="inlineStr">
        <is>
          <t>TANUM</t>
        </is>
      </c>
      <c r="I137" t="n">
        <v>1.6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2752-2025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45677</v>
      </c>
      <c r="E138" s="1" t="n">
        <v>46312</v>
      </c>
      <c r="F138" t="inlineStr">
        <is>
          <t>VÄSTRA GÖTALANDS LÄN</t>
        </is>
      </c>
      <c r="G138" t="inlineStr">
        <is>
          <t>TANUM</t>
        </is>
      </c>
      <c r="I138" t="n">
        <v>0.8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59070-2023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45252</v>
      </c>
      <c r="E139" s="1" t="n">
        <v>46312</v>
      </c>
      <c r="F139" t="inlineStr">
        <is>
          <t>VÄSTRA GÖTALANDS LÄN</t>
        </is>
      </c>
      <c r="G139" t="inlineStr">
        <is>
          <t>TANUM</t>
        </is>
      </c>
      <c r="I139" t="n">
        <v>3.6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13044-2023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45002</v>
      </c>
      <c r="E140" s="1" t="n">
        <v>46312</v>
      </c>
      <c r="F140" t="inlineStr">
        <is>
          <t>VÄSTRA GÖTALANDS LÄN</t>
        </is>
      </c>
      <c r="G140" t="inlineStr">
        <is>
          <t>TANUM</t>
        </is>
      </c>
      <c r="I140" t="n">
        <v>1.6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2420-2022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44579</v>
      </c>
      <c r="E141" s="1" t="n">
        <v>46312</v>
      </c>
      <c r="F141" t="inlineStr">
        <is>
          <t>VÄSTRA GÖTALANDS LÄN</t>
        </is>
      </c>
      <c r="G141" t="inlineStr">
        <is>
          <t>TANUM</t>
        </is>
      </c>
      <c r="I141" t="n">
        <v>1.1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2004-2023</t>
        </is>
      </c>
      <c r="B142" t="inlineStr">
        <is>
          <t>avverkningsanmälan</t>
        </is>
      </c>
      <c r="C142" t="inlineStr">
        <is>
          <t>Avverkning för annat ändamål</t>
        </is>
      </c>
      <c r="D142" s="1" t="n">
        <v>44939</v>
      </c>
      <c r="E142" s="1" t="n">
        <v>46312</v>
      </c>
      <c r="F142" t="inlineStr">
        <is>
          <t>VÄSTRA GÖTALANDS LÄN</t>
        </is>
      </c>
      <c r="G142" t="inlineStr">
        <is>
          <t>TANUM</t>
        </is>
      </c>
      <c r="I142" t="n">
        <v>9.9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18327-2023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45041</v>
      </c>
      <c r="E143" s="1" t="n">
        <v>46312</v>
      </c>
      <c r="F143" t="inlineStr">
        <is>
          <t>VÄSTRA GÖTALANDS LÄN</t>
        </is>
      </c>
      <c r="G143" t="inlineStr">
        <is>
          <t>TANUM</t>
        </is>
      </c>
      <c r="I143" t="n">
        <v>5.9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15381-2025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45747</v>
      </c>
      <c r="E144" s="1" t="n">
        <v>46312</v>
      </c>
      <c r="F144" t="inlineStr">
        <is>
          <t>VÄSTRA GÖTALANDS LÄN</t>
        </is>
      </c>
      <c r="G144" t="inlineStr">
        <is>
          <t>TANUM</t>
        </is>
      </c>
      <c r="I144" t="n">
        <v>0.8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62697-2023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45271</v>
      </c>
      <c r="E145" s="1" t="n">
        <v>46312</v>
      </c>
      <c r="F145" t="inlineStr">
        <is>
          <t>VÄSTRA GÖTALANDS LÄN</t>
        </is>
      </c>
      <c r="G145" t="inlineStr">
        <is>
          <t>TANUM</t>
        </is>
      </c>
      <c r="I145" t="n">
        <v>2.1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37099-2023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45155</v>
      </c>
      <c r="E146" s="1" t="n">
        <v>46312</v>
      </c>
      <c r="F146" t="inlineStr">
        <is>
          <t>VÄSTRA GÖTALANDS LÄN</t>
        </is>
      </c>
      <c r="G146" t="inlineStr">
        <is>
          <t>TANUM</t>
        </is>
      </c>
      <c r="I146" t="n">
        <v>0.4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57358-2024</t>
        </is>
      </c>
      <c r="B147" t="inlineStr">
        <is>
          <t>avverkningsanmälan</t>
        </is>
      </c>
      <c r="C147" t="inlineStr">
        <is>
          <t>Föryngringsavverkning</t>
        </is>
      </c>
      <c r="D147" s="1" t="n">
        <v>45629</v>
      </c>
      <c r="E147" s="1" t="n">
        <v>46312</v>
      </c>
      <c r="F147" t="inlineStr">
        <is>
          <t>VÄSTRA GÖTALANDS LÄN</t>
        </is>
      </c>
      <c r="G147" t="inlineStr">
        <is>
          <t>TANUM</t>
        </is>
      </c>
      <c r="I147" t="n">
        <v>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7900-2024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45350</v>
      </c>
      <c r="E148" s="1" t="n">
        <v>46312</v>
      </c>
      <c r="F148" t="inlineStr">
        <is>
          <t>VÄSTRA GÖTALANDS LÄN</t>
        </is>
      </c>
      <c r="G148" t="inlineStr">
        <is>
          <t>TANUM</t>
        </is>
      </c>
      <c r="I148" t="n">
        <v>2.4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10743-2022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44627</v>
      </c>
      <c r="E149" s="1" t="n">
        <v>46312</v>
      </c>
      <c r="F149" t="inlineStr">
        <is>
          <t>VÄSTRA GÖTALANDS LÄN</t>
        </is>
      </c>
      <c r="G149" t="inlineStr">
        <is>
          <t>TANUM</t>
        </is>
      </c>
      <c r="I149" t="n">
        <v>3.1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29930-2023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45107</v>
      </c>
      <c r="E150" s="1" t="n">
        <v>46312</v>
      </c>
      <c r="F150" t="inlineStr">
        <is>
          <t>VÄSTRA GÖTALANDS LÄN</t>
        </is>
      </c>
      <c r="G150" t="inlineStr">
        <is>
          <t>TANUM</t>
        </is>
      </c>
      <c r="I150" t="n">
        <v>6.5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37069-2023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45154</v>
      </c>
      <c r="E151" s="1" t="n">
        <v>46312</v>
      </c>
      <c r="F151" t="inlineStr">
        <is>
          <t>VÄSTRA GÖTALANDS LÄN</t>
        </is>
      </c>
      <c r="G151" t="inlineStr">
        <is>
          <t>TANUM</t>
        </is>
      </c>
      <c r="I151" t="n">
        <v>4.6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49691-2024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45596</v>
      </c>
      <c r="E152" s="1" t="n">
        <v>46312</v>
      </c>
      <c r="F152" t="inlineStr">
        <is>
          <t>VÄSTRA GÖTALANDS LÄN</t>
        </is>
      </c>
      <c r="G152" t="inlineStr">
        <is>
          <t>TANUM</t>
        </is>
      </c>
      <c r="I152" t="n">
        <v>2.1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39549-2024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45552</v>
      </c>
      <c r="E153" s="1" t="n">
        <v>46312</v>
      </c>
      <c r="F153" t="inlineStr">
        <is>
          <t>VÄSTRA GÖTALANDS LÄN</t>
        </is>
      </c>
      <c r="G153" t="inlineStr">
        <is>
          <t>TANUM</t>
        </is>
      </c>
      <c r="I153" t="n">
        <v>0.9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10675-2024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45369</v>
      </c>
      <c r="E154" s="1" t="n">
        <v>46312</v>
      </c>
      <c r="F154" t="inlineStr">
        <is>
          <t>VÄSTRA GÖTALANDS LÄN</t>
        </is>
      </c>
      <c r="G154" t="inlineStr">
        <is>
          <t>TANUM</t>
        </is>
      </c>
      <c r="I154" t="n">
        <v>3.4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20238-2026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46139</v>
      </c>
      <c r="E155" s="1" t="n">
        <v>46312</v>
      </c>
      <c r="F155" t="inlineStr">
        <is>
          <t>VÄSTRA GÖTALANDS LÄN</t>
        </is>
      </c>
      <c r="G155" t="inlineStr">
        <is>
          <t>TANUM</t>
        </is>
      </c>
      <c r="I155" t="n">
        <v>1.1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63326-2021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44506</v>
      </c>
      <c r="E156" s="1" t="n">
        <v>46312</v>
      </c>
      <c r="F156" t="inlineStr">
        <is>
          <t>VÄSTRA GÖTALANDS LÄN</t>
        </is>
      </c>
      <c r="G156" t="inlineStr">
        <is>
          <t>TANUM</t>
        </is>
      </c>
      <c r="I156" t="n">
        <v>5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38804-2025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45887</v>
      </c>
      <c r="E157" s="1" t="n">
        <v>46312</v>
      </c>
      <c r="F157" t="inlineStr">
        <is>
          <t>VÄSTRA GÖTALANDS LÄN</t>
        </is>
      </c>
      <c r="G157" t="inlineStr">
        <is>
          <t>TANUM</t>
        </is>
      </c>
      <c r="I157" t="n">
        <v>8.4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39347-2025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45889</v>
      </c>
      <c r="E158" s="1" t="n">
        <v>46312</v>
      </c>
      <c r="F158" t="inlineStr">
        <is>
          <t>VÄSTRA GÖTALANDS LÄN</t>
        </is>
      </c>
      <c r="G158" t="inlineStr">
        <is>
          <t>TANUM</t>
        </is>
      </c>
      <c r="I158" t="n">
        <v>5.3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30228-2024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45490</v>
      </c>
      <c r="E159" s="1" t="n">
        <v>46312</v>
      </c>
      <c r="F159" t="inlineStr">
        <is>
          <t>VÄSTRA GÖTALANDS LÄN</t>
        </is>
      </c>
      <c r="G159" t="inlineStr">
        <is>
          <t>TANUM</t>
        </is>
      </c>
      <c r="I159" t="n">
        <v>2.9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39351-2025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45889</v>
      </c>
      <c r="E160" s="1" t="n">
        <v>46312</v>
      </c>
      <c r="F160" t="inlineStr">
        <is>
          <t>VÄSTRA GÖTALANDS LÄN</t>
        </is>
      </c>
      <c r="G160" t="inlineStr">
        <is>
          <t>TANUM</t>
        </is>
      </c>
      <c r="I160" t="n">
        <v>1.4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44301-2022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44839</v>
      </c>
      <c r="E161" s="1" t="n">
        <v>46312</v>
      </c>
      <c r="F161" t="inlineStr">
        <is>
          <t>VÄSTRA GÖTALANDS LÄN</t>
        </is>
      </c>
      <c r="G161" t="inlineStr">
        <is>
          <t>TANUM</t>
        </is>
      </c>
      <c r="I161" t="n">
        <v>1.1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151-2024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45293</v>
      </c>
      <c r="E162" s="1" t="n">
        <v>46312</v>
      </c>
      <c r="F162" t="inlineStr">
        <is>
          <t>VÄSTRA GÖTALANDS LÄN</t>
        </is>
      </c>
      <c r="G162" t="inlineStr">
        <is>
          <t>TANUM</t>
        </is>
      </c>
      <c r="I162" t="n">
        <v>1.5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40458-2025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45895</v>
      </c>
      <c r="E163" s="1" t="n">
        <v>46312</v>
      </c>
      <c r="F163" t="inlineStr">
        <is>
          <t>VÄSTRA GÖTALANDS LÄN</t>
        </is>
      </c>
      <c r="G163" t="inlineStr">
        <is>
          <t>TANUM</t>
        </is>
      </c>
      <c r="I163" t="n">
        <v>3.3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40352-2025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45895</v>
      </c>
      <c r="E164" s="1" t="n">
        <v>46312</v>
      </c>
      <c r="F164" t="inlineStr">
        <is>
          <t>VÄSTRA GÖTALANDS LÄN</t>
        </is>
      </c>
      <c r="G164" t="inlineStr">
        <is>
          <t>TANUM</t>
        </is>
      </c>
      <c r="I164" t="n">
        <v>1.4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41031-2023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45170</v>
      </c>
      <c r="E165" s="1" t="n">
        <v>46312</v>
      </c>
      <c r="F165" t="inlineStr">
        <is>
          <t>VÄSTRA GÖTALANDS LÄN</t>
        </is>
      </c>
      <c r="G165" t="inlineStr">
        <is>
          <t>TANUM</t>
        </is>
      </c>
      <c r="I165" t="n">
        <v>4.4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40433-2025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45895</v>
      </c>
      <c r="E166" s="1" t="n">
        <v>46312</v>
      </c>
      <c r="F166" t="inlineStr">
        <is>
          <t>VÄSTRA GÖTALANDS LÄN</t>
        </is>
      </c>
      <c r="G166" t="inlineStr">
        <is>
          <t>TANUM</t>
        </is>
      </c>
      <c r="I166" t="n">
        <v>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40391-2025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45895</v>
      </c>
      <c r="E167" s="1" t="n">
        <v>46312</v>
      </c>
      <c r="F167" t="inlineStr">
        <is>
          <t>VÄSTRA GÖTALANDS LÄN</t>
        </is>
      </c>
      <c r="G167" t="inlineStr">
        <is>
          <t>TANUM</t>
        </is>
      </c>
      <c r="I167" t="n">
        <v>0.9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61213-2022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44908</v>
      </c>
      <c r="E168" s="1" t="n">
        <v>46312</v>
      </c>
      <c r="F168" t="inlineStr">
        <is>
          <t>VÄSTRA GÖTALANDS LÄN</t>
        </is>
      </c>
      <c r="G168" t="inlineStr">
        <is>
          <t>TANUM</t>
        </is>
      </c>
      <c r="I168" t="n">
        <v>8.199999999999999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58873-2025</t>
        </is>
      </c>
      <c r="B169" t="inlineStr">
        <is>
          <t>avverkningsanmälan</t>
        </is>
      </c>
      <c r="C169" t="inlineStr">
        <is>
          <t>Föryngringsavverkning</t>
        </is>
      </c>
      <c r="D169" s="1" t="n">
        <v>45987</v>
      </c>
      <c r="E169" s="1" t="n">
        <v>46312</v>
      </c>
      <c r="F169" t="inlineStr">
        <is>
          <t>VÄSTRA GÖTALANDS LÄN</t>
        </is>
      </c>
      <c r="G169" t="inlineStr">
        <is>
          <t>TANUM</t>
        </is>
      </c>
      <c r="I169" t="n">
        <v>1.6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17137-2025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45755</v>
      </c>
      <c r="E170" s="1" t="n">
        <v>46312</v>
      </c>
      <c r="F170" t="inlineStr">
        <is>
          <t>VÄSTRA GÖTALANDS LÄN</t>
        </is>
      </c>
      <c r="G170" t="inlineStr">
        <is>
          <t>TANUM</t>
        </is>
      </c>
      <c r="I170" t="n">
        <v>5.9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29243-2025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45824</v>
      </c>
      <c r="E171" s="1" t="n">
        <v>46312</v>
      </c>
      <c r="F171" t="inlineStr">
        <is>
          <t>VÄSTRA GÖTALANDS LÄN</t>
        </is>
      </c>
      <c r="G171" t="inlineStr">
        <is>
          <t>TANUM</t>
        </is>
      </c>
      <c r="I171" t="n">
        <v>1.9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32683-2025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45838</v>
      </c>
      <c r="E172" s="1" t="n">
        <v>46312</v>
      </c>
      <c r="F172" t="inlineStr">
        <is>
          <t>VÄSTRA GÖTALANDS LÄN</t>
        </is>
      </c>
      <c r="G172" t="inlineStr">
        <is>
          <t>TANUM</t>
        </is>
      </c>
      <c r="I172" t="n">
        <v>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32684-2025</t>
        </is>
      </c>
      <c r="B173" t="inlineStr">
        <is>
          <t>avverkningsanmälan</t>
        </is>
      </c>
      <c r="C173" t="inlineStr">
        <is>
          <t>Föryngringsavverkning</t>
        </is>
      </c>
      <c r="D173" s="1" t="n">
        <v>45837</v>
      </c>
      <c r="E173" s="1" t="n">
        <v>46312</v>
      </c>
      <c r="F173" t="inlineStr">
        <is>
          <t>VÄSTRA GÖTALANDS LÄN</t>
        </is>
      </c>
      <c r="G173" t="inlineStr">
        <is>
          <t>TANUM</t>
        </is>
      </c>
      <c r="I173" t="n">
        <v>7.2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2488-2025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45673</v>
      </c>
      <c r="E174" s="1" t="n">
        <v>46312</v>
      </c>
      <c r="F174" t="inlineStr">
        <is>
          <t>VÄSTRA GÖTALANDS LÄN</t>
        </is>
      </c>
      <c r="G174" t="inlineStr">
        <is>
          <t>TANUM</t>
        </is>
      </c>
      <c r="I174" t="n">
        <v>1.6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36688-2025</t>
        </is>
      </c>
      <c r="B175" t="inlineStr">
        <is>
          <t>avverkningsanmälan</t>
        </is>
      </c>
      <c r="C175" t="inlineStr">
        <is>
          <t>Föryngringsavverkning</t>
        </is>
      </c>
      <c r="D175" s="1" t="n">
        <v>45872</v>
      </c>
      <c r="E175" s="1" t="n">
        <v>46312</v>
      </c>
      <c r="F175" t="inlineStr">
        <is>
          <t>VÄSTRA GÖTALANDS LÄN</t>
        </is>
      </c>
      <c r="G175" t="inlineStr">
        <is>
          <t>TANUM</t>
        </is>
      </c>
      <c r="I175" t="n">
        <v>4.1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41988-2025</t>
        </is>
      </c>
      <c r="B176" t="inlineStr">
        <is>
          <t>avverkningsanmälan</t>
        </is>
      </c>
      <c r="C176" t="inlineStr">
        <is>
          <t>Föryngringsavverkning</t>
        </is>
      </c>
      <c r="D176" s="1" t="n">
        <v>45903</v>
      </c>
      <c r="E176" s="1" t="n">
        <v>46312</v>
      </c>
      <c r="F176" t="inlineStr">
        <is>
          <t>VÄSTRA GÖTALANDS LÄN</t>
        </is>
      </c>
      <c r="G176" t="inlineStr">
        <is>
          <t>TANUM</t>
        </is>
      </c>
      <c r="I176" t="n">
        <v>13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41777-2025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45902</v>
      </c>
      <c r="E177" s="1" t="n">
        <v>46312</v>
      </c>
      <c r="F177" t="inlineStr">
        <is>
          <t>VÄSTRA GÖTALANDS LÄN</t>
        </is>
      </c>
      <c r="G177" t="inlineStr">
        <is>
          <t>TANUM</t>
        </is>
      </c>
      <c r="I177" t="n">
        <v>0.5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13645-2024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45390</v>
      </c>
      <c r="E178" s="1" t="n">
        <v>46312</v>
      </c>
      <c r="F178" t="inlineStr">
        <is>
          <t>VÄSTRA GÖTALANDS LÄN</t>
        </is>
      </c>
      <c r="G178" t="inlineStr">
        <is>
          <t>TANUM</t>
        </is>
      </c>
      <c r="I178" t="n">
        <v>1.2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41987-2025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45903</v>
      </c>
      <c r="E179" s="1" t="n">
        <v>46312</v>
      </c>
      <c r="F179" t="inlineStr">
        <is>
          <t>VÄSTRA GÖTALANDS LÄN</t>
        </is>
      </c>
      <c r="G179" t="inlineStr">
        <is>
          <t>TANUM</t>
        </is>
      </c>
      <c r="I179" t="n">
        <v>0.9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28807-2025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45820</v>
      </c>
      <c r="E180" s="1" t="n">
        <v>46312</v>
      </c>
      <c r="F180" t="inlineStr">
        <is>
          <t>VÄSTRA GÖTALANDS LÄN</t>
        </is>
      </c>
      <c r="G180" t="inlineStr">
        <is>
          <t>TANUM</t>
        </is>
      </c>
      <c r="I180" t="n">
        <v>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838-2026</t>
        </is>
      </c>
      <c r="B181" t="inlineStr">
        <is>
          <t>avverkningsanmälan</t>
        </is>
      </c>
      <c r="C181" t="inlineStr">
        <is>
          <t>Föryngringsavverkning</t>
        </is>
      </c>
      <c r="D181" s="1" t="n">
        <v>46029</v>
      </c>
      <c r="E181" s="1" t="n">
        <v>46312</v>
      </c>
      <c r="F181" t="inlineStr">
        <is>
          <t>VÄSTRA GÖTALANDS LÄN</t>
        </is>
      </c>
      <c r="G181" t="inlineStr">
        <is>
          <t>TANUM</t>
        </is>
      </c>
      <c r="I181" t="n">
        <v>2.2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13432-2024</t>
        </is>
      </c>
      <c r="B182" t="inlineStr">
        <is>
          <t>avverkningsanmälan</t>
        </is>
      </c>
      <c r="C182" t="inlineStr">
        <is>
          <t>Föryngringsavverkning</t>
        </is>
      </c>
      <c r="D182" s="1" t="n">
        <v>45387</v>
      </c>
      <c r="E182" s="1" t="n">
        <v>46312</v>
      </c>
      <c r="F182" t="inlineStr">
        <is>
          <t>VÄSTRA GÖTALANDS LÄN</t>
        </is>
      </c>
      <c r="G182" t="inlineStr">
        <is>
          <t>TANUM</t>
        </is>
      </c>
      <c r="I182" t="n">
        <v>0.6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50048-2024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45597</v>
      </c>
      <c r="E183" s="1" t="n">
        <v>46312</v>
      </c>
      <c r="F183" t="inlineStr">
        <is>
          <t>VÄSTRA GÖTALANDS LÄN</t>
        </is>
      </c>
      <c r="G183" t="inlineStr">
        <is>
          <t>TANUM</t>
        </is>
      </c>
      <c r="I183" t="n">
        <v>4.3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40043-2023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45168</v>
      </c>
      <c r="E184" s="1" t="n">
        <v>46312</v>
      </c>
      <c r="F184" t="inlineStr">
        <is>
          <t>VÄSTRA GÖTALANDS LÄN</t>
        </is>
      </c>
      <c r="G184" t="inlineStr">
        <is>
          <t>TANUM</t>
        </is>
      </c>
      <c r="I184" t="n">
        <v>3.2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58661-2024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45635</v>
      </c>
      <c r="E185" s="1" t="n">
        <v>46312</v>
      </c>
      <c r="F185" t="inlineStr">
        <is>
          <t>VÄSTRA GÖTALANDS LÄN</t>
        </is>
      </c>
      <c r="G185" t="inlineStr">
        <is>
          <t>TANUM</t>
        </is>
      </c>
      <c r="I185" t="n">
        <v>0.6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3493-2022</t>
        </is>
      </c>
      <c r="B186" t="inlineStr">
        <is>
          <t>avverkningsanmälan</t>
        </is>
      </c>
      <c r="C186" t="inlineStr">
        <is>
          <t>Föryngringsavverkning</t>
        </is>
      </c>
      <c r="D186" s="1" t="n">
        <v>44585</v>
      </c>
      <c r="E186" s="1" t="n">
        <v>46312</v>
      </c>
      <c r="F186" t="inlineStr">
        <is>
          <t>VÄSTRA GÖTALANDS LÄN</t>
        </is>
      </c>
      <c r="G186" t="inlineStr">
        <is>
          <t>TANUM</t>
        </is>
      </c>
      <c r="I186" t="n">
        <v>4.2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6112-2025</t>
        </is>
      </c>
      <c r="B187" t="inlineStr">
        <is>
          <t>avverkningsanmälan</t>
        </is>
      </c>
      <c r="C187" t="inlineStr">
        <is>
          <t>Föryngringsavverkning</t>
        </is>
      </c>
      <c r="D187" s="1" t="n">
        <v>45698</v>
      </c>
      <c r="E187" s="1" t="n">
        <v>46312</v>
      </c>
      <c r="F187" t="inlineStr">
        <is>
          <t>VÄSTRA GÖTALANDS LÄN</t>
        </is>
      </c>
      <c r="G187" t="inlineStr">
        <is>
          <t>TANUM</t>
        </is>
      </c>
      <c r="I187" t="n">
        <v>0.9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5655-2024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45334</v>
      </c>
      <c r="E188" s="1" t="n">
        <v>46312</v>
      </c>
      <c r="F188" t="inlineStr">
        <is>
          <t>VÄSTRA GÖTALANDS LÄN</t>
        </is>
      </c>
      <c r="G188" t="inlineStr">
        <is>
          <t>TANUM</t>
        </is>
      </c>
      <c r="I188" t="n">
        <v>0.9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45374-2025</t>
        </is>
      </c>
      <c r="B189" t="inlineStr">
        <is>
          <t>avverkningsanmälan</t>
        </is>
      </c>
      <c r="C189" t="inlineStr">
        <is>
          <t>Föryngringsavverkning</t>
        </is>
      </c>
      <c r="D189" s="1" t="n">
        <v>45922</v>
      </c>
      <c r="E189" s="1" t="n">
        <v>46312</v>
      </c>
      <c r="F189" t="inlineStr">
        <is>
          <t>VÄSTRA GÖTALANDS LÄN</t>
        </is>
      </c>
      <c r="G189" t="inlineStr">
        <is>
          <t>TANUM</t>
        </is>
      </c>
      <c r="I189" t="n">
        <v>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45656-2025</t>
        </is>
      </c>
      <c r="B190" t="inlineStr">
        <is>
          <t>avverkningsanmälan</t>
        </is>
      </c>
      <c r="C190" t="inlineStr">
        <is>
          <t>Föryngringsavverkning</t>
        </is>
      </c>
      <c r="D190" s="1" t="n">
        <v>45923</v>
      </c>
      <c r="E190" s="1" t="n">
        <v>46312</v>
      </c>
      <c r="F190" t="inlineStr">
        <is>
          <t>VÄSTRA GÖTALANDS LÄN</t>
        </is>
      </c>
      <c r="G190" t="inlineStr">
        <is>
          <t>TANUM</t>
        </is>
      </c>
      <c r="I190" t="n">
        <v>5.5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28795-2023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45104</v>
      </c>
      <c r="E191" s="1" t="n">
        <v>46312</v>
      </c>
      <c r="F191" t="inlineStr">
        <is>
          <t>VÄSTRA GÖTALANDS LÄN</t>
        </is>
      </c>
      <c r="G191" t="inlineStr">
        <is>
          <t>TANUM</t>
        </is>
      </c>
      <c r="H191" t="inlineStr">
        <is>
          <t>Naturvårdsverket</t>
        </is>
      </c>
      <c r="I191" t="n">
        <v>2.4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45350-2025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45922</v>
      </c>
      <c r="E192" s="1" t="n">
        <v>46312</v>
      </c>
      <c r="F192" t="inlineStr">
        <is>
          <t>VÄSTRA GÖTALANDS LÄN</t>
        </is>
      </c>
      <c r="G192" t="inlineStr">
        <is>
          <t>TANUM</t>
        </is>
      </c>
      <c r="I192" t="n">
        <v>0.8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46420-2025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45925</v>
      </c>
      <c r="E193" s="1" t="n">
        <v>46312</v>
      </c>
      <c r="F193" t="inlineStr">
        <is>
          <t>VÄSTRA GÖTALANDS LÄN</t>
        </is>
      </c>
      <c r="G193" t="inlineStr">
        <is>
          <t>TANUM</t>
        </is>
      </c>
      <c r="I193" t="n">
        <v>3.8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47085-2025</t>
        </is>
      </c>
      <c r="B194" t="inlineStr">
        <is>
          <t>avverkningsanmälan</t>
        </is>
      </c>
      <c r="C194" t="inlineStr">
        <is>
          <t>Föryngringsavverkning</t>
        </is>
      </c>
      <c r="D194" s="1" t="n">
        <v>45929</v>
      </c>
      <c r="E194" s="1" t="n">
        <v>46312</v>
      </c>
      <c r="F194" t="inlineStr">
        <is>
          <t>VÄSTRA GÖTALANDS LÄN</t>
        </is>
      </c>
      <c r="G194" t="inlineStr">
        <is>
          <t>TANUM</t>
        </is>
      </c>
      <c r="H194" t="inlineStr">
        <is>
          <t>Kyrkan</t>
        </is>
      </c>
      <c r="I194" t="n">
        <v>0.5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46870-2025</t>
        </is>
      </c>
      <c r="B195" t="inlineStr">
        <is>
          <t>avverkningsanmälan</t>
        </is>
      </c>
      <c r="C195" t="inlineStr">
        <is>
          <t>Föryngringsavverkning</t>
        </is>
      </c>
      <c r="D195" s="1" t="n">
        <v>45927</v>
      </c>
      <c r="E195" s="1" t="n">
        <v>46312</v>
      </c>
      <c r="F195" t="inlineStr">
        <is>
          <t>VÄSTRA GÖTALANDS LÄN</t>
        </is>
      </c>
      <c r="G195" t="inlineStr">
        <is>
          <t>TANUM</t>
        </is>
      </c>
      <c r="I195" t="n">
        <v>5.1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46529-2025</t>
        </is>
      </c>
      <c r="B196" t="inlineStr">
        <is>
          <t>avverkningsanmälan</t>
        </is>
      </c>
      <c r="C196" t="inlineStr">
        <is>
          <t>Föryngringsavverkning</t>
        </is>
      </c>
      <c r="D196" s="1" t="n">
        <v>45926</v>
      </c>
      <c r="E196" s="1" t="n">
        <v>46312</v>
      </c>
      <c r="F196" t="inlineStr">
        <is>
          <t>VÄSTRA GÖTALANDS LÄN</t>
        </is>
      </c>
      <c r="G196" t="inlineStr">
        <is>
          <t>TANUM</t>
        </is>
      </c>
      <c r="I196" t="n">
        <v>1.5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47056-2025</t>
        </is>
      </c>
      <c r="B197" t="inlineStr">
        <is>
          <t>avverkningsanmälan</t>
        </is>
      </c>
      <c r="C197" t="inlineStr">
        <is>
          <t>Föryngringsavverkning</t>
        </is>
      </c>
      <c r="D197" s="1" t="n">
        <v>45929</v>
      </c>
      <c r="E197" s="1" t="n">
        <v>46312</v>
      </c>
      <c r="F197" t="inlineStr">
        <is>
          <t>VÄSTRA GÖTALANDS LÄN</t>
        </is>
      </c>
      <c r="G197" t="inlineStr">
        <is>
          <t>TANUM</t>
        </is>
      </c>
      <c r="I197" t="n">
        <v>2.7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A 46528-2025</t>
        </is>
      </c>
      <c r="B198" t="inlineStr">
        <is>
          <t>avverkningsanmälan</t>
        </is>
      </c>
      <c r="C198" t="inlineStr">
        <is>
          <t>Föryngringsavverkning</t>
        </is>
      </c>
      <c r="D198" s="1" t="n">
        <v>45926</v>
      </c>
      <c r="E198" s="1" t="n">
        <v>46312</v>
      </c>
      <c r="F198" t="inlineStr">
        <is>
          <t>VÄSTRA GÖTALANDS LÄN</t>
        </is>
      </c>
      <c r="G198" t="inlineStr">
        <is>
          <t>TANUM</t>
        </is>
      </c>
      <c r="I198" t="n">
        <v>11.9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A 47984-2025</t>
        </is>
      </c>
      <c r="B199" t="inlineStr">
        <is>
          <t>avverkningsanmälan</t>
        </is>
      </c>
      <c r="C199" t="inlineStr">
        <is>
          <t>Föryngringsavverkning</t>
        </is>
      </c>
      <c r="D199" s="1" t="n">
        <v>45932</v>
      </c>
      <c r="E199" s="1" t="n">
        <v>46312</v>
      </c>
      <c r="F199" t="inlineStr">
        <is>
          <t>VÄSTRA GÖTALANDS LÄN</t>
        </is>
      </c>
      <c r="G199" t="inlineStr">
        <is>
          <t>TANUM</t>
        </is>
      </c>
      <c r="I199" t="n">
        <v>1.1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A 64997-2023</t>
        </is>
      </c>
      <c r="B200" t="inlineStr">
        <is>
          <t>avverkningsanmälan</t>
        </is>
      </c>
      <c r="C200" t="inlineStr">
        <is>
          <t>Föryngringsavverkning</t>
        </is>
      </c>
      <c r="D200" s="1" t="n">
        <v>45286</v>
      </c>
      <c r="E200" s="1" t="n">
        <v>46312</v>
      </c>
      <c r="F200" t="inlineStr">
        <is>
          <t>VÄSTRA GÖTALANDS LÄN</t>
        </is>
      </c>
      <c r="G200" t="inlineStr">
        <is>
          <t>TANUM</t>
        </is>
      </c>
      <c r="I200" t="n">
        <v>2.7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46118-2023</t>
        </is>
      </c>
      <c r="B201" t="inlineStr">
        <is>
          <t>avverkningsanmälan</t>
        </is>
      </c>
      <c r="C201" t="inlineStr">
        <is>
          <t>Föryngringsavverkning</t>
        </is>
      </c>
      <c r="D201" s="1" t="n">
        <v>45196</v>
      </c>
      <c r="E201" s="1" t="n">
        <v>46312</v>
      </c>
      <c r="F201" t="inlineStr">
        <is>
          <t>VÄSTRA GÖTALANDS LÄN</t>
        </is>
      </c>
      <c r="G201" t="inlineStr">
        <is>
          <t>TANUM</t>
        </is>
      </c>
      <c r="I201" t="n">
        <v>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48683-2025</t>
        </is>
      </c>
      <c r="B202" t="inlineStr">
        <is>
          <t>avverkningsanmälan</t>
        </is>
      </c>
      <c r="C202" t="inlineStr">
        <is>
          <t>Föryngringsavverkning</t>
        </is>
      </c>
      <c r="D202" s="1" t="n">
        <v>45935</v>
      </c>
      <c r="E202" s="1" t="n">
        <v>46312</v>
      </c>
      <c r="F202" t="inlineStr">
        <is>
          <t>VÄSTRA GÖTALANDS LÄN</t>
        </is>
      </c>
      <c r="G202" t="inlineStr">
        <is>
          <t>TANUM</t>
        </is>
      </c>
      <c r="I202" t="n">
        <v>0.6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A 48799-2025</t>
        </is>
      </c>
      <c r="B203" t="inlineStr">
        <is>
          <t>avverkningsanmälan</t>
        </is>
      </c>
      <c r="C203" t="inlineStr">
        <is>
          <t>Föryngringsavverkning</t>
        </is>
      </c>
      <c r="D203" s="1" t="n">
        <v>45937</v>
      </c>
      <c r="E203" s="1" t="n">
        <v>46312</v>
      </c>
      <c r="F203" t="inlineStr">
        <is>
          <t>VÄSTRA GÖTALANDS LÄN</t>
        </is>
      </c>
      <c r="G203" t="inlineStr">
        <is>
          <t>TANUM</t>
        </is>
      </c>
      <c r="I203" t="n">
        <v>4.6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11945-2025</t>
        </is>
      </c>
      <c r="B204" t="inlineStr">
        <is>
          <t>avverkningsanmälan</t>
        </is>
      </c>
      <c r="C204" t="inlineStr">
        <is>
          <t>Föryngringsavverkning</t>
        </is>
      </c>
      <c r="D204" s="1" t="n">
        <v>45728</v>
      </c>
      <c r="E204" s="1" t="n">
        <v>46312</v>
      </c>
      <c r="F204" t="inlineStr">
        <is>
          <t>VÄSTRA GÖTALANDS LÄN</t>
        </is>
      </c>
      <c r="G204" t="inlineStr">
        <is>
          <t>TANUM</t>
        </is>
      </c>
      <c r="I204" t="n">
        <v>0.8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50062-2025</t>
        </is>
      </c>
      <c r="B205" t="inlineStr">
        <is>
          <t>avverkningsanmälan</t>
        </is>
      </c>
      <c r="C205" t="inlineStr">
        <is>
          <t>Föryngringsavverkning</t>
        </is>
      </c>
      <c r="D205" s="1" t="n">
        <v>45942</v>
      </c>
      <c r="E205" s="1" t="n">
        <v>46312</v>
      </c>
      <c r="F205" t="inlineStr">
        <is>
          <t>VÄSTRA GÖTALANDS LÄN</t>
        </is>
      </c>
      <c r="G205" t="inlineStr">
        <is>
          <t>TANUM</t>
        </is>
      </c>
      <c r="I205" t="n">
        <v>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50556-2025</t>
        </is>
      </c>
      <c r="B206" t="inlineStr">
        <is>
          <t>avverkningsanmälan</t>
        </is>
      </c>
      <c r="C206" t="inlineStr">
        <is>
          <t>Föryngringsavverkning</t>
        </is>
      </c>
      <c r="D206" s="1" t="n">
        <v>45945</v>
      </c>
      <c r="E206" s="1" t="n">
        <v>46312</v>
      </c>
      <c r="F206" t="inlineStr">
        <is>
          <t>VÄSTRA GÖTALANDS LÄN</t>
        </is>
      </c>
      <c r="G206" t="inlineStr">
        <is>
          <t>TANUM</t>
        </is>
      </c>
      <c r="I206" t="n">
        <v>2.2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3763-2024</t>
        </is>
      </c>
      <c r="B207" t="inlineStr">
        <is>
          <t>avverkningsanmälan</t>
        </is>
      </c>
      <c r="C207" t="inlineStr">
        <is>
          <t>Föryngringsavverkning</t>
        </is>
      </c>
      <c r="D207" s="1" t="n">
        <v>45321</v>
      </c>
      <c r="E207" s="1" t="n">
        <v>46312</v>
      </c>
      <c r="F207" t="inlineStr">
        <is>
          <t>VÄSTRA GÖTALANDS LÄN</t>
        </is>
      </c>
      <c r="G207" t="inlineStr">
        <is>
          <t>TANUM</t>
        </is>
      </c>
      <c r="I207" t="n">
        <v>3.3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50963-2025</t>
        </is>
      </c>
      <c r="B208" t="inlineStr">
        <is>
          <t>avverkningsanmälan</t>
        </is>
      </c>
      <c r="C208" t="inlineStr">
        <is>
          <t>Föryngringsavverkning</t>
        </is>
      </c>
      <c r="D208" s="1" t="n">
        <v>45946</v>
      </c>
      <c r="E208" s="1" t="n">
        <v>46312</v>
      </c>
      <c r="F208" t="inlineStr">
        <is>
          <t>VÄSTRA GÖTALANDS LÄN</t>
        </is>
      </c>
      <c r="G208" t="inlineStr">
        <is>
          <t>TANUM</t>
        </is>
      </c>
      <c r="H208" t="inlineStr">
        <is>
          <t>Kyrkan</t>
        </is>
      </c>
      <c r="I208" t="n">
        <v>9.1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50761-2025</t>
        </is>
      </c>
      <c r="B209" t="inlineStr">
        <is>
          <t>avverkningsanmälan</t>
        </is>
      </c>
      <c r="C209" t="inlineStr">
        <is>
          <t>Föryngringsavverkning</t>
        </is>
      </c>
      <c r="D209" s="1" t="n">
        <v>45946</v>
      </c>
      <c r="E209" s="1" t="n">
        <v>46312</v>
      </c>
      <c r="F209" t="inlineStr">
        <is>
          <t>VÄSTRA GÖTALANDS LÄN</t>
        </is>
      </c>
      <c r="G209" t="inlineStr">
        <is>
          <t>TANUM</t>
        </is>
      </c>
      <c r="H209" t="inlineStr">
        <is>
          <t>Kyrkan</t>
        </is>
      </c>
      <c r="I209" t="n">
        <v>5.4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51688-2025</t>
        </is>
      </c>
      <c r="B210" t="inlineStr">
        <is>
          <t>avverkningsanmälan</t>
        </is>
      </c>
      <c r="C210" t="inlineStr">
        <is>
          <t>Föryngringsavverkning</t>
        </is>
      </c>
      <c r="D210" s="1" t="n">
        <v>45951</v>
      </c>
      <c r="E210" s="1" t="n">
        <v>46312</v>
      </c>
      <c r="F210" t="inlineStr">
        <is>
          <t>VÄSTRA GÖTALANDS LÄN</t>
        </is>
      </c>
      <c r="G210" t="inlineStr">
        <is>
          <t>TANUM</t>
        </is>
      </c>
      <c r="I210" t="n">
        <v>3.2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A 51691-2025</t>
        </is>
      </c>
      <c r="B211" t="inlineStr">
        <is>
          <t>avverkningsanmälan</t>
        </is>
      </c>
      <c r="C211" t="inlineStr">
        <is>
          <t>Föryngringsavverkning</t>
        </is>
      </c>
      <c r="D211" s="1" t="n">
        <v>45951</v>
      </c>
      <c r="E211" s="1" t="n">
        <v>46312</v>
      </c>
      <c r="F211" t="inlineStr">
        <is>
          <t>VÄSTRA GÖTALANDS LÄN</t>
        </is>
      </c>
      <c r="G211" t="inlineStr">
        <is>
          <t>TANUM</t>
        </is>
      </c>
      <c r="I211" t="n">
        <v>4.7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A 51411-2025</t>
        </is>
      </c>
      <c r="B212" t="inlineStr">
        <is>
          <t>avverkningsanmälan</t>
        </is>
      </c>
      <c r="C212" t="inlineStr">
        <is>
          <t>Föryngringsavverkning</t>
        </is>
      </c>
      <c r="D212" s="1" t="n">
        <v>45949</v>
      </c>
      <c r="E212" s="1" t="n">
        <v>46312</v>
      </c>
      <c r="F212" t="inlineStr">
        <is>
          <t>VÄSTRA GÖTALANDS LÄN</t>
        </is>
      </c>
      <c r="G212" t="inlineStr">
        <is>
          <t>TANUM</t>
        </is>
      </c>
      <c r="I212" t="n">
        <v>2.4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A 51687-2025</t>
        </is>
      </c>
      <c r="B213" t="inlineStr">
        <is>
          <t>avverkningsanmälan</t>
        </is>
      </c>
      <c r="C213" t="inlineStr">
        <is>
          <t>Föryngringsavverkning</t>
        </is>
      </c>
      <c r="D213" s="1" t="n">
        <v>45951</v>
      </c>
      <c r="E213" s="1" t="n">
        <v>46312</v>
      </c>
      <c r="F213" t="inlineStr">
        <is>
          <t>VÄSTRA GÖTALANDS LÄN</t>
        </is>
      </c>
      <c r="G213" t="inlineStr">
        <is>
          <t>TANUM</t>
        </is>
      </c>
      <c r="I213" t="n">
        <v>1.5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 ht="15" customHeight="1">
      <c r="A214" t="inlineStr">
        <is>
          <t>A 51692-2025</t>
        </is>
      </c>
      <c r="B214" t="inlineStr">
        <is>
          <t>avverkningsanmälan</t>
        </is>
      </c>
      <c r="C214" t="inlineStr">
        <is>
          <t>Föryngringsavverkning</t>
        </is>
      </c>
      <c r="D214" s="1" t="n">
        <v>45951</v>
      </c>
      <c r="E214" s="1" t="n">
        <v>46312</v>
      </c>
      <c r="F214" t="inlineStr">
        <is>
          <t>VÄSTRA GÖTALANDS LÄN</t>
        </is>
      </c>
      <c r="G214" t="inlineStr">
        <is>
          <t>TANUM</t>
        </is>
      </c>
      <c r="I214" t="n">
        <v>1.6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  <row r="215" ht="15" customHeight="1">
      <c r="A215" t="inlineStr">
        <is>
          <t>A 51966-2025</t>
        </is>
      </c>
      <c r="B215" t="inlineStr">
        <is>
          <t>avverkningsanmälan</t>
        </is>
      </c>
      <c r="C215" t="inlineStr">
        <is>
          <t>Föryngringsavverkning</t>
        </is>
      </c>
      <c r="D215" s="1" t="n">
        <v>45952</v>
      </c>
      <c r="E215" s="1" t="n">
        <v>46312</v>
      </c>
      <c r="F215" t="inlineStr">
        <is>
          <t>VÄSTRA GÖTALANDS LÄN</t>
        </is>
      </c>
      <c r="G215" t="inlineStr">
        <is>
          <t>TANUM</t>
        </is>
      </c>
      <c r="I215" t="n">
        <v>2.9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inlineStr"/>
    </row>
    <row r="216" ht="15" customHeight="1">
      <c r="A216" t="inlineStr">
        <is>
          <t>A 41297-2023</t>
        </is>
      </c>
      <c r="B216" t="inlineStr">
        <is>
          <t>avverkningsanmälan</t>
        </is>
      </c>
      <c r="C216" t="inlineStr">
        <is>
          <t>Föryngringsavverkning</t>
        </is>
      </c>
      <c r="D216" s="1" t="n">
        <v>45174</v>
      </c>
      <c r="E216" s="1" t="n">
        <v>46312</v>
      </c>
      <c r="F216" t="inlineStr">
        <is>
          <t>VÄSTRA GÖTALANDS LÄN</t>
        </is>
      </c>
      <c r="G216" t="inlineStr">
        <is>
          <t>TANUM</t>
        </is>
      </c>
      <c r="I216" t="n">
        <v>2.2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inlineStr"/>
    </row>
    <row r="217" ht="15" customHeight="1">
      <c r="A217" t="inlineStr">
        <is>
          <t>A 52408-2025</t>
        </is>
      </c>
      <c r="B217" t="inlineStr">
        <is>
          <t>avverkningsanmälan</t>
        </is>
      </c>
      <c r="C217" t="inlineStr">
        <is>
          <t>Föryngringsavverkning</t>
        </is>
      </c>
      <c r="D217" s="1" t="n">
        <v>45954</v>
      </c>
      <c r="E217" s="1" t="n">
        <v>46312</v>
      </c>
      <c r="F217" t="inlineStr">
        <is>
          <t>VÄSTRA GÖTALANDS LÄN</t>
        </is>
      </c>
      <c r="G217" t="inlineStr">
        <is>
          <t>TANUM</t>
        </is>
      </c>
      <c r="I217" t="n">
        <v>12.9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s="2" t="inlineStr"/>
    </row>
    <row r="218" ht="15" customHeight="1">
      <c r="A218" t="inlineStr">
        <is>
          <t>A 52417-2025</t>
        </is>
      </c>
      <c r="B218" t="inlineStr">
        <is>
          <t>avverkningsanmälan</t>
        </is>
      </c>
      <c r="C218" t="inlineStr">
        <is>
          <t>Föryngringsavverkning</t>
        </is>
      </c>
      <c r="D218" s="1" t="n">
        <v>45954</v>
      </c>
      <c r="E218" s="1" t="n">
        <v>46312</v>
      </c>
      <c r="F218" t="inlineStr">
        <is>
          <t>VÄSTRA GÖTALANDS LÄN</t>
        </is>
      </c>
      <c r="G218" t="inlineStr">
        <is>
          <t>TANUM</t>
        </is>
      </c>
      <c r="I218" t="n">
        <v>1.2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s="2" t="inlineStr"/>
    </row>
    <row r="219" ht="15" customHeight="1">
      <c r="A219" t="inlineStr">
        <is>
          <t>A 53241-2025</t>
        </is>
      </c>
      <c r="B219" t="inlineStr">
        <is>
          <t>avverkningsanmälan</t>
        </is>
      </c>
      <c r="C219" t="inlineStr">
        <is>
          <t>Föryngringsavverkning</t>
        </is>
      </c>
      <c r="D219" s="1" t="n">
        <v>45958</v>
      </c>
      <c r="E219" s="1" t="n">
        <v>46312</v>
      </c>
      <c r="F219" t="inlineStr">
        <is>
          <t>VÄSTRA GÖTALANDS LÄN</t>
        </is>
      </c>
      <c r="G219" t="inlineStr">
        <is>
          <t>TANUM</t>
        </is>
      </c>
      <c r="I219" t="n">
        <v>7.7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s="2" t="inlineStr"/>
    </row>
    <row r="220" ht="15" customHeight="1">
      <c r="A220" t="inlineStr">
        <is>
          <t>A 66945-2021</t>
        </is>
      </c>
      <c r="B220" t="inlineStr">
        <is>
          <t>avverkningsanmälan</t>
        </is>
      </c>
      <c r="C220" t="inlineStr">
        <is>
          <t>Föryngringsavverkning</t>
        </is>
      </c>
      <c r="D220" s="1" t="n">
        <v>44522</v>
      </c>
      <c r="E220" s="1" t="n">
        <v>46312</v>
      </c>
      <c r="F220" t="inlineStr">
        <is>
          <t>VÄSTRA GÖTALANDS LÄN</t>
        </is>
      </c>
      <c r="G220" t="inlineStr">
        <is>
          <t>TANUM</t>
        </is>
      </c>
      <c r="I220" t="n">
        <v>0.8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s="2" t="inlineStr"/>
    </row>
    <row r="221" ht="15" customHeight="1">
      <c r="A221" t="inlineStr">
        <is>
          <t>A 43594-2023</t>
        </is>
      </c>
      <c r="B221" t="inlineStr">
        <is>
          <t>avverkningsanmälan</t>
        </is>
      </c>
      <c r="C221" t="inlineStr">
        <is>
          <t>Föryngringsavverkning</t>
        </is>
      </c>
      <c r="D221" s="1" t="n">
        <v>45184</v>
      </c>
      <c r="E221" s="1" t="n">
        <v>46312</v>
      </c>
      <c r="F221" t="inlineStr">
        <is>
          <t>VÄSTRA GÖTALANDS LÄN</t>
        </is>
      </c>
      <c r="G221" t="inlineStr">
        <is>
          <t>TANUM</t>
        </is>
      </c>
      <c r="I221" t="n">
        <v>1.1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s="2" t="inlineStr"/>
    </row>
    <row r="222" ht="15" customHeight="1">
      <c r="A222" t="inlineStr">
        <is>
          <t>A 16471-2023</t>
        </is>
      </c>
      <c r="B222" t="inlineStr">
        <is>
          <t>avverkningsanmälan</t>
        </is>
      </c>
      <c r="C222" t="inlineStr">
        <is>
          <t>Föryngringsavverkning</t>
        </is>
      </c>
      <c r="D222" s="1" t="n">
        <v>45026</v>
      </c>
      <c r="E222" s="1" t="n">
        <v>46312</v>
      </c>
      <c r="F222" t="inlineStr">
        <is>
          <t>VÄSTRA GÖTALANDS LÄN</t>
        </is>
      </c>
      <c r="G222" t="inlineStr">
        <is>
          <t>TANUM</t>
        </is>
      </c>
      <c r="I222" t="n">
        <v>0.9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s="2" t="inlineStr"/>
    </row>
    <row r="223" ht="15" customHeight="1">
      <c r="A223" t="inlineStr">
        <is>
          <t>A 55434-2025</t>
        </is>
      </c>
      <c r="B223" t="inlineStr">
        <is>
          <t>avverkningsanmälan</t>
        </is>
      </c>
      <c r="C223" t="inlineStr">
        <is>
          <t>Föryngringsavverkning</t>
        </is>
      </c>
      <c r="D223" s="1" t="n">
        <v>45971</v>
      </c>
      <c r="E223" s="1" t="n">
        <v>46312</v>
      </c>
      <c r="F223" t="inlineStr">
        <is>
          <t>VÄSTRA GÖTALANDS LÄN</t>
        </is>
      </c>
      <c r="G223" t="inlineStr">
        <is>
          <t>TANUM</t>
        </is>
      </c>
      <c r="I223" t="n">
        <v>1.9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s="2" t="inlineStr"/>
    </row>
    <row r="224" ht="15" customHeight="1">
      <c r="A224" t="inlineStr">
        <is>
          <t>A 26624-2024</t>
        </is>
      </c>
      <c r="B224" t="inlineStr">
        <is>
          <t>avverkningsanmälan</t>
        </is>
      </c>
      <c r="C224" t="inlineStr">
        <is>
          <t>Föryngringsavverkning</t>
        </is>
      </c>
      <c r="D224" s="1" t="n">
        <v>45469</v>
      </c>
      <c r="E224" s="1" t="n">
        <v>46312</v>
      </c>
      <c r="F224" t="inlineStr">
        <is>
          <t>VÄSTRA GÖTALANDS LÄN</t>
        </is>
      </c>
      <c r="G224" t="inlineStr">
        <is>
          <t>TANUM</t>
        </is>
      </c>
      <c r="I224" t="n">
        <v>1.3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s="2" t="inlineStr"/>
    </row>
    <row r="225" ht="15" customHeight="1">
      <c r="A225" t="inlineStr">
        <is>
          <t>A 3131-2023</t>
        </is>
      </c>
      <c r="B225" t="inlineStr">
        <is>
          <t>avverkningsanmälan</t>
        </is>
      </c>
      <c r="C225" t="inlineStr">
        <is>
          <t>Föryngringsavverkning</t>
        </is>
      </c>
      <c r="D225" s="1" t="n">
        <v>44946</v>
      </c>
      <c r="E225" s="1" t="n">
        <v>46312</v>
      </c>
      <c r="F225" t="inlineStr">
        <is>
          <t>VÄSTRA GÖTALANDS LÄN</t>
        </is>
      </c>
      <c r="G225" t="inlineStr">
        <is>
          <t>TANUM</t>
        </is>
      </c>
      <c r="I225" t="n">
        <v>11.4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s="2" t="inlineStr"/>
    </row>
    <row r="226" ht="15" customHeight="1">
      <c r="A226" t="inlineStr">
        <is>
          <t>A 55836-2025</t>
        </is>
      </c>
      <c r="B226" t="inlineStr">
        <is>
          <t>avverkningsanmälan</t>
        </is>
      </c>
      <c r="C226" t="inlineStr">
        <is>
          <t>Föryngringsavverkning</t>
        </is>
      </c>
      <c r="D226" s="1" t="n">
        <v>45972</v>
      </c>
      <c r="E226" s="1" t="n">
        <v>46312</v>
      </c>
      <c r="F226" t="inlineStr">
        <is>
          <t>VÄSTRA GÖTALANDS LÄN</t>
        </is>
      </c>
      <c r="G226" t="inlineStr">
        <is>
          <t>TANUM</t>
        </is>
      </c>
      <c r="I226" t="n">
        <v>7.1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s="2" t="inlineStr"/>
    </row>
    <row r="227" ht="15" customHeight="1">
      <c r="A227" t="inlineStr">
        <is>
          <t>A 55837-2025</t>
        </is>
      </c>
      <c r="B227" t="inlineStr">
        <is>
          <t>avverkningsanmälan</t>
        </is>
      </c>
      <c r="C227" t="inlineStr">
        <is>
          <t>Föryngringsavverkning</t>
        </is>
      </c>
      <c r="D227" s="1" t="n">
        <v>45972</v>
      </c>
      <c r="E227" s="1" t="n">
        <v>46312</v>
      </c>
      <c r="F227" t="inlineStr">
        <is>
          <t>VÄSTRA GÖTALANDS LÄN</t>
        </is>
      </c>
      <c r="G227" t="inlineStr">
        <is>
          <t>TANUM</t>
        </is>
      </c>
      <c r="I227" t="n">
        <v>3.1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s="2" t="inlineStr"/>
    </row>
    <row r="228" ht="15" customHeight="1">
      <c r="A228" t="inlineStr">
        <is>
          <t>A 1134-2022</t>
        </is>
      </c>
      <c r="B228" t="inlineStr">
        <is>
          <t>avverkningsanmälan</t>
        </is>
      </c>
      <c r="C228" t="inlineStr">
        <is>
          <t>Föryngringsavverkning</t>
        </is>
      </c>
      <c r="D228" s="1" t="n">
        <v>44572</v>
      </c>
      <c r="E228" s="1" t="n">
        <v>46312</v>
      </c>
      <c r="F228" t="inlineStr">
        <is>
          <t>VÄSTRA GÖTALANDS LÄN</t>
        </is>
      </c>
      <c r="G228" t="inlineStr">
        <is>
          <t>TANUM</t>
        </is>
      </c>
      <c r="I228" t="n">
        <v>1.4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s="2" t="inlineStr"/>
    </row>
    <row r="229" ht="15" customHeight="1">
      <c r="A229" t="inlineStr">
        <is>
          <t>A 56190-2025</t>
        </is>
      </c>
      <c r="B229" t="inlineStr">
        <is>
          <t>avverkningsanmälan</t>
        </is>
      </c>
      <c r="C229" t="inlineStr">
        <is>
          <t>Föryngringsavverkning</t>
        </is>
      </c>
      <c r="D229" s="1" t="n">
        <v>45974</v>
      </c>
      <c r="E229" s="1" t="n">
        <v>46312</v>
      </c>
      <c r="F229" t="inlineStr">
        <is>
          <t>VÄSTRA GÖTALANDS LÄN</t>
        </is>
      </c>
      <c r="G229" t="inlineStr">
        <is>
          <t>TANUM</t>
        </is>
      </c>
      <c r="H229" t="inlineStr">
        <is>
          <t>Kyrkan</t>
        </is>
      </c>
      <c r="I229" t="n">
        <v>1.6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s="2" t="inlineStr"/>
    </row>
    <row r="230" ht="15" customHeight="1">
      <c r="A230" t="inlineStr">
        <is>
          <t>A 56944-2025</t>
        </is>
      </c>
      <c r="B230" t="inlineStr">
        <is>
          <t>avverkningsanmälan</t>
        </is>
      </c>
      <c r="C230" t="inlineStr">
        <is>
          <t>Föryngringsavverkning</t>
        </is>
      </c>
      <c r="D230" s="1" t="n">
        <v>45978</v>
      </c>
      <c r="E230" s="1" t="n">
        <v>46312</v>
      </c>
      <c r="F230" t="inlineStr">
        <is>
          <t>VÄSTRA GÖTALANDS LÄN</t>
        </is>
      </c>
      <c r="G230" t="inlineStr">
        <is>
          <t>TANUM</t>
        </is>
      </c>
      <c r="I230" t="n">
        <v>6.8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s="2" t="inlineStr"/>
    </row>
    <row r="231" ht="15" customHeight="1">
      <c r="A231" t="inlineStr">
        <is>
          <t>A 23375-2026</t>
        </is>
      </c>
      <c r="B231" t="inlineStr">
        <is>
          <t>avverkningsanmälan</t>
        </is>
      </c>
      <c r="C231" t="inlineStr">
        <is>
          <t>Föryngringsavverkning</t>
        </is>
      </c>
      <c r="D231" s="1" t="n">
        <v>46162</v>
      </c>
      <c r="E231" s="1" t="n">
        <v>46312</v>
      </c>
      <c r="F231" t="inlineStr">
        <is>
          <t>VÄSTRA GÖTALANDS LÄN</t>
        </is>
      </c>
      <c r="G231" t="inlineStr">
        <is>
          <t>TANUM</t>
        </is>
      </c>
      <c r="I231" t="n">
        <v>6.8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s="2" t="inlineStr"/>
    </row>
    <row r="232" ht="15" customHeight="1">
      <c r="A232" t="inlineStr">
        <is>
          <t>A 36844-2024</t>
        </is>
      </c>
      <c r="B232" t="inlineStr">
        <is>
          <t>avverkningsanmälan</t>
        </is>
      </c>
      <c r="C232" t="inlineStr">
        <is>
          <t>Föryngringsavverkning</t>
        </is>
      </c>
      <c r="D232" s="1" t="n">
        <v>45538</v>
      </c>
      <c r="E232" s="1" t="n">
        <v>46312</v>
      </c>
      <c r="F232" t="inlineStr">
        <is>
          <t>VÄSTRA GÖTALANDS LÄN</t>
        </is>
      </c>
      <c r="G232" t="inlineStr">
        <is>
          <t>TANUM</t>
        </is>
      </c>
      <c r="I232" t="n">
        <v>2.8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s="2" t="inlineStr"/>
    </row>
    <row r="233" ht="15" customHeight="1">
      <c r="A233" t="inlineStr">
        <is>
          <t>A 46241-2023</t>
        </is>
      </c>
      <c r="B233" t="inlineStr">
        <is>
          <t>avverkningsanmälan</t>
        </is>
      </c>
      <c r="C233" t="inlineStr">
        <is>
          <t>Avverkning för annat ändamål</t>
        </is>
      </c>
      <c r="D233" s="1" t="n">
        <v>45196</v>
      </c>
      <c r="E233" s="1" t="n">
        <v>46312</v>
      </c>
      <c r="F233" t="inlineStr">
        <is>
          <t>VÄSTRA GÖTALANDS LÄN</t>
        </is>
      </c>
      <c r="G233" t="inlineStr">
        <is>
          <t>TANUM</t>
        </is>
      </c>
      <c r="I233" t="n">
        <v>1.6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s="2" t="inlineStr"/>
    </row>
    <row r="234" ht="15" customHeight="1">
      <c r="A234" t="inlineStr">
        <is>
          <t>A 58468-2025</t>
        </is>
      </c>
      <c r="B234" t="inlineStr">
        <is>
          <t>avverkningsanmälan</t>
        </is>
      </c>
      <c r="C234" t="inlineStr">
        <is>
          <t>Föryngringsavverkning</t>
        </is>
      </c>
      <c r="D234" s="1" t="n">
        <v>45985</v>
      </c>
      <c r="E234" s="1" t="n">
        <v>46312</v>
      </c>
      <c r="F234" t="inlineStr">
        <is>
          <t>VÄSTRA GÖTALANDS LÄN</t>
        </is>
      </c>
      <c r="G234" t="inlineStr">
        <is>
          <t>TANUM</t>
        </is>
      </c>
      <c r="I234" t="n">
        <v>0.4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s="2" t="inlineStr"/>
    </row>
    <row r="235" ht="15" customHeight="1">
      <c r="A235" t="inlineStr">
        <is>
          <t>A 13997-2025</t>
        </is>
      </c>
      <c r="B235" t="inlineStr">
        <is>
          <t>avverkningsanmälan</t>
        </is>
      </c>
      <c r="C235" t="inlineStr">
        <is>
          <t>Föryngringsavverkning</t>
        </is>
      </c>
      <c r="D235" s="1" t="n">
        <v>45739</v>
      </c>
      <c r="E235" s="1" t="n">
        <v>46312</v>
      </c>
      <c r="F235" t="inlineStr">
        <is>
          <t>VÄSTRA GÖTALANDS LÄN</t>
        </is>
      </c>
      <c r="G235" t="inlineStr">
        <is>
          <t>TANUM</t>
        </is>
      </c>
      <c r="I235" t="n">
        <v>1.2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s="2" t="inlineStr"/>
    </row>
    <row r="236" ht="15" customHeight="1">
      <c r="A236" t="inlineStr">
        <is>
          <t>A 58809-2025</t>
        </is>
      </c>
      <c r="B236" t="inlineStr">
        <is>
          <t>avverkningsanmälan</t>
        </is>
      </c>
      <c r="C236" t="inlineStr">
        <is>
          <t>Avverkning för annat ändamål</t>
        </is>
      </c>
      <c r="D236" s="1" t="n">
        <v>45987</v>
      </c>
      <c r="E236" s="1" t="n">
        <v>46312</v>
      </c>
      <c r="F236" t="inlineStr">
        <is>
          <t>VÄSTRA GÖTALANDS LÄN</t>
        </is>
      </c>
      <c r="G236" t="inlineStr">
        <is>
          <t>TANUM</t>
        </is>
      </c>
      <c r="I236" t="n">
        <v>0.6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s="2" t="inlineStr"/>
    </row>
    <row r="237" ht="15" customHeight="1">
      <c r="A237" t="inlineStr">
        <is>
          <t>A 63132-2023</t>
        </is>
      </c>
      <c r="B237" t="inlineStr">
        <is>
          <t>avverkningsanmälan</t>
        </is>
      </c>
      <c r="C237" t="inlineStr">
        <is>
          <t>Föryngringsavverkning</t>
        </is>
      </c>
      <c r="D237" s="1" t="n">
        <v>45273</v>
      </c>
      <c r="E237" s="1" t="n">
        <v>46312</v>
      </c>
      <c r="F237" t="inlineStr">
        <is>
          <t>VÄSTRA GÖTALANDS LÄN</t>
        </is>
      </c>
      <c r="G237" t="inlineStr">
        <is>
          <t>TANUM</t>
        </is>
      </c>
      <c r="I237" t="n">
        <v>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s="2" t="inlineStr"/>
    </row>
    <row r="238" ht="15" customHeight="1">
      <c r="A238" t="inlineStr">
        <is>
          <t>A 46140-2022</t>
        </is>
      </c>
      <c r="B238" t="inlineStr">
        <is>
          <t>avverkningsanmälan</t>
        </is>
      </c>
      <c r="C238" t="inlineStr">
        <is>
          <t>Föryngringsavverkning</t>
        </is>
      </c>
      <c r="D238" s="1" t="n">
        <v>44846</v>
      </c>
      <c r="E238" s="1" t="n">
        <v>46312</v>
      </c>
      <c r="F238" t="inlineStr">
        <is>
          <t>VÄSTRA GÖTALANDS LÄN</t>
        </is>
      </c>
      <c r="G238" t="inlineStr">
        <is>
          <t>TANUM</t>
        </is>
      </c>
      <c r="I238" t="n">
        <v>1.3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s="2" t="inlineStr"/>
    </row>
    <row r="239" ht="15" customHeight="1">
      <c r="A239" t="inlineStr">
        <is>
          <t>A 50868-2025</t>
        </is>
      </c>
      <c r="B239" t="inlineStr">
        <is>
          <t>avverkningsanmälan</t>
        </is>
      </c>
      <c r="C239" t="inlineStr">
        <is>
          <t>Föryngringsavverkning</t>
        </is>
      </c>
      <c r="D239" s="1" t="n">
        <v>45946</v>
      </c>
      <c r="E239" s="1" t="n">
        <v>46312</v>
      </c>
      <c r="F239" t="inlineStr">
        <is>
          <t>VÄSTRA GÖTALANDS LÄN</t>
        </is>
      </c>
      <c r="G239" t="inlineStr">
        <is>
          <t>TANUM</t>
        </is>
      </c>
      <c r="I239" t="n">
        <v>1.9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s="2" t="inlineStr"/>
    </row>
    <row r="240" ht="15" customHeight="1">
      <c r="A240" t="inlineStr">
        <is>
          <t>A 23696-2024</t>
        </is>
      </c>
      <c r="B240" t="inlineStr">
        <is>
          <t>avverkningsanmälan</t>
        </is>
      </c>
      <c r="C240" t="inlineStr">
        <is>
          <t>Föryngringsavverkning</t>
        </is>
      </c>
      <c r="D240" s="1" t="n">
        <v>45454</v>
      </c>
      <c r="E240" s="1" t="n">
        <v>46312</v>
      </c>
      <c r="F240" t="inlineStr">
        <is>
          <t>VÄSTRA GÖTALANDS LÄN</t>
        </is>
      </c>
      <c r="G240" t="inlineStr">
        <is>
          <t>TANUM</t>
        </is>
      </c>
      <c r="I240" t="n">
        <v>1.4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s="2" t="inlineStr"/>
    </row>
    <row r="241" ht="15" customHeight="1">
      <c r="A241" t="inlineStr">
        <is>
          <t>A 2446-2024</t>
        </is>
      </c>
      <c r="B241" t="inlineStr">
        <is>
          <t>avverkningsanmälan</t>
        </is>
      </c>
      <c r="C241" t="inlineStr">
        <is>
          <t>Föryngringsavverkning</t>
        </is>
      </c>
      <c r="D241" s="1" t="n">
        <v>45311</v>
      </c>
      <c r="E241" s="1" t="n">
        <v>46312</v>
      </c>
      <c r="F241" t="inlineStr">
        <is>
          <t>VÄSTRA GÖTALANDS LÄN</t>
        </is>
      </c>
      <c r="G241" t="inlineStr">
        <is>
          <t>TANUM</t>
        </is>
      </c>
      <c r="I241" t="n">
        <v>3.2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s="2" t="inlineStr"/>
    </row>
    <row r="242" ht="15" customHeight="1">
      <c r="A242" t="inlineStr">
        <is>
          <t>A 6243-2025</t>
        </is>
      </c>
      <c r="B242" t="inlineStr">
        <is>
          <t>avverkningsanmälan</t>
        </is>
      </c>
      <c r="C242" t="inlineStr">
        <is>
          <t>Föryngringsavverkning</t>
        </is>
      </c>
      <c r="D242" s="1" t="n">
        <v>45698</v>
      </c>
      <c r="E242" s="1" t="n">
        <v>46312</v>
      </c>
      <c r="F242" t="inlineStr">
        <is>
          <t>VÄSTRA GÖTALANDS LÄN</t>
        </is>
      </c>
      <c r="G242" t="inlineStr">
        <is>
          <t>TANUM</t>
        </is>
      </c>
      <c r="I242" t="n">
        <v>1.7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s="2" t="inlineStr"/>
    </row>
    <row r="243" ht="15" customHeight="1">
      <c r="A243" t="inlineStr">
        <is>
          <t>A 24997-2023</t>
        </is>
      </c>
      <c r="B243" t="inlineStr">
        <is>
          <t>avverkningsanmälan</t>
        </is>
      </c>
      <c r="C243" t="inlineStr">
        <is>
          <t>Föryngringsavverkning</t>
        </is>
      </c>
      <c r="D243" s="1" t="n">
        <v>45085</v>
      </c>
      <c r="E243" s="1" t="n">
        <v>46312</v>
      </c>
      <c r="F243" t="inlineStr">
        <is>
          <t>VÄSTRA GÖTALANDS LÄN</t>
        </is>
      </c>
      <c r="G243" t="inlineStr">
        <is>
          <t>TANUM</t>
        </is>
      </c>
      <c r="I243" t="n">
        <v>1.2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s="2" t="inlineStr"/>
    </row>
    <row r="244" ht="15" customHeight="1">
      <c r="A244" t="inlineStr">
        <is>
          <t>A 61152-2025</t>
        </is>
      </c>
      <c r="B244" t="inlineStr">
        <is>
          <t>avverkningsanmälan</t>
        </is>
      </c>
      <c r="C244" t="inlineStr">
        <is>
          <t>Föryngringsavverkning</t>
        </is>
      </c>
      <c r="D244" s="1" t="n">
        <v>46000</v>
      </c>
      <c r="E244" s="1" t="n">
        <v>46312</v>
      </c>
      <c r="F244" t="inlineStr">
        <is>
          <t>VÄSTRA GÖTALANDS LÄN</t>
        </is>
      </c>
      <c r="G244" t="inlineStr">
        <is>
          <t>TANUM</t>
        </is>
      </c>
      <c r="I244" t="n">
        <v>2.1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s="2" t="inlineStr"/>
    </row>
    <row r="245" ht="15" customHeight="1">
      <c r="A245" t="inlineStr">
        <is>
          <t>A 50941-2022</t>
        </is>
      </c>
      <c r="B245" t="inlineStr">
        <is>
          <t>avverkningsanmälan</t>
        </is>
      </c>
      <c r="C245" t="inlineStr">
        <is>
          <t>Föryngringsavverkning</t>
        </is>
      </c>
      <c r="D245" s="1" t="n">
        <v>44867</v>
      </c>
      <c r="E245" s="1" t="n">
        <v>46312</v>
      </c>
      <c r="F245" t="inlineStr">
        <is>
          <t>VÄSTRA GÖTALANDS LÄN</t>
        </is>
      </c>
      <c r="G245" t="inlineStr">
        <is>
          <t>TANUM</t>
        </is>
      </c>
      <c r="I245" t="n">
        <v>2.7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s="2" t="inlineStr"/>
    </row>
    <row r="246" ht="15" customHeight="1">
      <c r="A246" t="inlineStr">
        <is>
          <t>A 61255-2025</t>
        </is>
      </c>
      <c r="B246" t="inlineStr">
        <is>
          <t>avverkningsanmälan</t>
        </is>
      </c>
      <c r="C246" t="inlineStr">
        <is>
          <t>Föryngringsavverkning</t>
        </is>
      </c>
      <c r="D246" s="1" t="n">
        <v>46000</v>
      </c>
      <c r="E246" s="1" t="n">
        <v>46312</v>
      </c>
      <c r="F246" t="inlineStr">
        <is>
          <t>VÄSTRA GÖTALANDS LÄN</t>
        </is>
      </c>
      <c r="G246" t="inlineStr">
        <is>
          <t>TANUM</t>
        </is>
      </c>
      <c r="I246" t="n">
        <v>2.1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s="2" t="inlineStr"/>
    </row>
    <row r="247" ht="15" customHeight="1">
      <c r="A247" t="inlineStr">
        <is>
          <t>A 61162-2025</t>
        </is>
      </c>
      <c r="B247" t="inlineStr">
        <is>
          <t>avverkningsanmälan</t>
        </is>
      </c>
      <c r="C247" t="inlineStr">
        <is>
          <t>Föryngringsavverkning</t>
        </is>
      </c>
      <c r="D247" s="1" t="n">
        <v>46000</v>
      </c>
      <c r="E247" s="1" t="n">
        <v>46312</v>
      </c>
      <c r="F247" t="inlineStr">
        <is>
          <t>VÄSTRA GÖTALANDS LÄN</t>
        </is>
      </c>
      <c r="G247" t="inlineStr">
        <is>
          <t>TANUM</t>
        </is>
      </c>
      <c r="I247" t="n">
        <v>3.4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s="2" t="inlineStr"/>
    </row>
    <row r="248" ht="15" customHeight="1">
      <c r="A248" t="inlineStr">
        <is>
          <t>A 57889-2022</t>
        </is>
      </c>
      <c r="B248" t="inlineStr">
        <is>
          <t>avverkningsanmälan</t>
        </is>
      </c>
      <c r="C248" t="inlineStr">
        <is>
          <t>Föryngringsavverkning</t>
        </is>
      </c>
      <c r="D248" s="1" t="n">
        <v>44900</v>
      </c>
      <c r="E248" s="1" t="n">
        <v>46312</v>
      </c>
      <c r="F248" t="inlineStr">
        <is>
          <t>VÄSTRA GÖTALANDS LÄN</t>
        </is>
      </c>
      <c r="G248" t="inlineStr">
        <is>
          <t>TANUM</t>
        </is>
      </c>
      <c r="I248" t="n">
        <v>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s="2" t="inlineStr"/>
    </row>
    <row r="249" ht="15" customHeight="1">
      <c r="A249" t="inlineStr">
        <is>
          <t>A 30322-2026</t>
        </is>
      </c>
      <c r="B249" t="inlineStr">
        <is>
          <t>avverkningsanmälan</t>
        </is>
      </c>
      <c r="C249" t="inlineStr">
        <is>
          <t>Avverkning för att bevara och utveckla /försöksver</t>
        </is>
      </c>
      <c r="D249" s="1" t="n">
        <v>46207</v>
      </c>
      <c r="E249" s="1" t="n">
        <v>46312</v>
      </c>
      <c r="F249" t="inlineStr">
        <is>
          <t>VÄSTRA GÖTALANDS LÄN</t>
        </is>
      </c>
      <c r="G249" t="inlineStr">
        <is>
          <t>TANUM</t>
        </is>
      </c>
      <c r="I249" t="n">
        <v>0.7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s="2" t="inlineStr"/>
    </row>
    <row r="250" ht="15" customHeight="1">
      <c r="A250" t="inlineStr">
        <is>
          <t>A 37283-2022</t>
        </is>
      </c>
      <c r="B250" t="inlineStr">
        <is>
          <t>avverkningsanmälan</t>
        </is>
      </c>
      <c r="C250" t="inlineStr">
        <is>
          <t>Föryngringsavverkning</t>
        </is>
      </c>
      <c r="D250" s="1" t="n">
        <v>44807</v>
      </c>
      <c r="E250" s="1" t="n">
        <v>46312</v>
      </c>
      <c r="F250" t="inlineStr">
        <is>
          <t>VÄSTRA GÖTALANDS LÄN</t>
        </is>
      </c>
      <c r="G250" t="inlineStr">
        <is>
          <t>TANUM</t>
        </is>
      </c>
      <c r="I250" t="n">
        <v>3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s="2" t="inlineStr"/>
    </row>
    <row r="251" ht="15" customHeight="1">
      <c r="A251" t="inlineStr">
        <is>
          <t>A 2706-2023</t>
        </is>
      </c>
      <c r="B251" t="inlineStr">
        <is>
          <t>avverkningsanmälan</t>
        </is>
      </c>
      <c r="C251" t="inlineStr">
        <is>
          <t>Avverkning för annat ändamål</t>
        </is>
      </c>
      <c r="D251" s="1" t="n">
        <v>44944</v>
      </c>
      <c r="E251" s="1" t="n">
        <v>46312</v>
      </c>
      <c r="F251" t="inlineStr">
        <is>
          <t>VÄSTRA GÖTALANDS LÄN</t>
        </is>
      </c>
      <c r="G251" t="inlineStr">
        <is>
          <t>TANUM</t>
        </is>
      </c>
      <c r="I251" t="n">
        <v>1.1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s="2" t="inlineStr"/>
    </row>
    <row r="252" ht="15" customHeight="1">
      <c r="A252" t="inlineStr">
        <is>
          <t>A 17193-2025</t>
        </is>
      </c>
      <c r="B252" t="inlineStr">
        <is>
          <t>avverkningsanmälan</t>
        </is>
      </c>
      <c r="C252" t="inlineStr">
        <is>
          <t>Föryngringsavverkning</t>
        </is>
      </c>
      <c r="D252" s="1" t="n">
        <v>45756</v>
      </c>
      <c r="E252" s="1" t="n">
        <v>46312</v>
      </c>
      <c r="F252" t="inlineStr">
        <is>
          <t>VÄSTRA GÖTALANDS LÄN</t>
        </is>
      </c>
      <c r="G252" t="inlineStr">
        <is>
          <t>TANUM</t>
        </is>
      </c>
      <c r="I252" t="n">
        <v>5.7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s="2" t="inlineStr"/>
    </row>
    <row r="253" ht="15" customHeight="1">
      <c r="A253" t="inlineStr">
        <is>
          <t>A 1396-2024</t>
        </is>
      </c>
      <c r="B253" t="inlineStr">
        <is>
          <t>avverkningsanmälan</t>
        </is>
      </c>
      <c r="C253" t="inlineStr">
        <is>
          <t>Föryngringsavverkning</t>
        </is>
      </c>
      <c r="D253" s="1" t="n">
        <v>45303</v>
      </c>
      <c r="E253" s="1" t="n">
        <v>46312</v>
      </c>
      <c r="F253" t="inlineStr">
        <is>
          <t>VÄSTRA GÖTALANDS LÄN</t>
        </is>
      </c>
      <c r="G253" t="inlineStr">
        <is>
          <t>TANUM</t>
        </is>
      </c>
      <c r="I253" t="n">
        <v>0.7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s="2" t="inlineStr"/>
    </row>
    <row r="254" ht="15" customHeight="1">
      <c r="A254" t="inlineStr">
        <is>
          <t>A 1413-2024</t>
        </is>
      </c>
      <c r="B254" t="inlineStr">
        <is>
          <t>avverkningsanmälan</t>
        </is>
      </c>
      <c r="C254" t="inlineStr">
        <is>
          <t>Föryngringsavverkning</t>
        </is>
      </c>
      <c r="D254" s="1" t="n">
        <v>45303</v>
      </c>
      <c r="E254" s="1" t="n">
        <v>46312</v>
      </c>
      <c r="F254" t="inlineStr">
        <is>
          <t>VÄSTRA GÖTALANDS LÄN</t>
        </is>
      </c>
      <c r="G254" t="inlineStr">
        <is>
          <t>TANUM</t>
        </is>
      </c>
      <c r="I254" t="n">
        <v>0.7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s="2" t="inlineStr"/>
    </row>
    <row r="255" ht="15" customHeight="1">
      <c r="A255" t="inlineStr">
        <is>
          <t>A 49309-2024</t>
        </is>
      </c>
      <c r="B255" t="inlineStr">
        <is>
          <t>avverkningsanmälan</t>
        </is>
      </c>
      <c r="C255" t="inlineStr">
        <is>
          <t>Föryngringsavverkning</t>
        </is>
      </c>
      <c r="D255" s="1" t="n">
        <v>45595</v>
      </c>
      <c r="E255" s="1" t="n">
        <v>46312</v>
      </c>
      <c r="F255" t="inlineStr">
        <is>
          <t>VÄSTRA GÖTALANDS LÄN</t>
        </is>
      </c>
      <c r="G255" t="inlineStr">
        <is>
          <t>TANUM</t>
        </is>
      </c>
      <c r="I255" t="n">
        <v>1.6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s="2" t="inlineStr"/>
    </row>
    <row r="256" ht="15" customHeight="1">
      <c r="A256" t="inlineStr">
        <is>
          <t>A 2486-2025</t>
        </is>
      </c>
      <c r="B256" t="inlineStr">
        <is>
          <t>avverkningsanmälan</t>
        </is>
      </c>
      <c r="C256" t="inlineStr">
        <is>
          <t>Föryngringsavverkning</t>
        </is>
      </c>
      <c r="D256" s="1" t="n">
        <v>45673</v>
      </c>
      <c r="E256" s="1" t="n">
        <v>46312</v>
      </c>
      <c r="F256" t="inlineStr">
        <is>
          <t>VÄSTRA GÖTALANDS LÄN</t>
        </is>
      </c>
      <c r="G256" t="inlineStr">
        <is>
          <t>TANUM</t>
        </is>
      </c>
      <c r="I256" t="n">
        <v>0.5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s="2" t="inlineStr"/>
    </row>
    <row r="257" ht="15" customHeight="1">
      <c r="A257" t="inlineStr">
        <is>
          <t>A 26371-2024</t>
        </is>
      </c>
      <c r="B257" t="inlineStr">
        <is>
          <t>avverkningsanmälan</t>
        </is>
      </c>
      <c r="C257" t="inlineStr">
        <is>
          <t>Föryngringsavverkning</t>
        </is>
      </c>
      <c r="D257" s="1" t="n">
        <v>45469</v>
      </c>
      <c r="E257" s="1" t="n">
        <v>46312</v>
      </c>
      <c r="F257" t="inlineStr">
        <is>
          <t>VÄSTRA GÖTALANDS LÄN</t>
        </is>
      </c>
      <c r="G257" t="inlineStr">
        <is>
          <t>TANUM</t>
        </is>
      </c>
      <c r="I257" t="n">
        <v>8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s="2" t="inlineStr"/>
    </row>
    <row r="258" ht="15" customHeight="1">
      <c r="A258" t="inlineStr">
        <is>
          <t>A 63425-2025</t>
        </is>
      </c>
      <c r="B258" t="inlineStr">
        <is>
          <t>avverkningsanmälan</t>
        </is>
      </c>
      <c r="C258" t="inlineStr">
        <is>
          <t>Föryngringsavverkning</t>
        </is>
      </c>
      <c r="D258" s="1" t="n">
        <v>46013</v>
      </c>
      <c r="E258" s="1" t="n">
        <v>46312</v>
      </c>
      <c r="F258" t="inlineStr">
        <is>
          <t>VÄSTRA GÖTALANDS LÄN</t>
        </is>
      </c>
      <c r="G258" t="inlineStr">
        <is>
          <t>TANUM</t>
        </is>
      </c>
      <c r="I258" t="n">
        <v>3.2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s="2" t="inlineStr"/>
    </row>
    <row r="259" ht="15" customHeight="1">
      <c r="A259" t="inlineStr">
        <is>
          <t>A 63426-2025</t>
        </is>
      </c>
      <c r="B259" t="inlineStr">
        <is>
          <t>avverkningsanmälan</t>
        </is>
      </c>
      <c r="C259" t="inlineStr">
        <is>
          <t>Föryngringsavverkning</t>
        </is>
      </c>
      <c r="D259" s="1" t="n">
        <v>46013</v>
      </c>
      <c r="E259" s="1" t="n">
        <v>46312</v>
      </c>
      <c r="F259" t="inlineStr">
        <is>
          <t>VÄSTRA GÖTALANDS LÄN</t>
        </is>
      </c>
      <c r="G259" t="inlineStr">
        <is>
          <t>TANUM</t>
        </is>
      </c>
      <c r="I259" t="n">
        <v>10.2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s="2" t="inlineStr"/>
    </row>
    <row r="260" ht="15" customHeight="1">
      <c r="A260" t="inlineStr">
        <is>
          <t>A 61709-2023</t>
        </is>
      </c>
      <c r="B260" t="inlineStr">
        <is>
          <t>avverkningsanmälan</t>
        </is>
      </c>
      <c r="C260" t="inlineStr">
        <is>
          <t>Föryngringsavverkning</t>
        </is>
      </c>
      <c r="D260" s="1" t="n">
        <v>45265</v>
      </c>
      <c r="E260" s="1" t="n">
        <v>46312</v>
      </c>
      <c r="F260" t="inlineStr">
        <is>
          <t>VÄSTRA GÖTALANDS LÄN</t>
        </is>
      </c>
      <c r="G260" t="inlineStr">
        <is>
          <t>TANUM</t>
        </is>
      </c>
      <c r="I260" t="n">
        <v>0.6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s="2" t="inlineStr"/>
    </row>
    <row r="261" ht="15" customHeight="1">
      <c r="A261" t="inlineStr">
        <is>
          <t>A 62489-2023</t>
        </is>
      </c>
      <c r="B261" t="inlineStr">
        <is>
          <t>avverkningsanmälan</t>
        </is>
      </c>
      <c r="C261" t="inlineStr">
        <is>
          <t>Föryngringsavverkning</t>
        </is>
      </c>
      <c r="D261" s="1" t="n">
        <v>45268</v>
      </c>
      <c r="E261" s="1" t="n">
        <v>46312</v>
      </c>
      <c r="F261" t="inlineStr">
        <is>
          <t>VÄSTRA GÖTALANDS LÄN</t>
        </is>
      </c>
      <c r="G261" t="inlineStr">
        <is>
          <t>TANUM</t>
        </is>
      </c>
      <c r="I261" t="n">
        <v>2.3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s="2" t="inlineStr"/>
    </row>
    <row r="262" ht="15" customHeight="1">
      <c r="A262" t="inlineStr">
        <is>
          <t>A 18882-2026</t>
        </is>
      </c>
      <c r="B262" t="inlineStr">
        <is>
          <t>avverkningsanmälan</t>
        </is>
      </c>
      <c r="C262" t="inlineStr">
        <is>
          <t>Föryngringsavverkning</t>
        </is>
      </c>
      <c r="D262" s="1" t="n">
        <v>46129</v>
      </c>
      <c r="E262" s="1" t="n">
        <v>46312</v>
      </c>
      <c r="F262" t="inlineStr">
        <is>
          <t>VÄSTRA GÖTALANDS LÄN</t>
        </is>
      </c>
      <c r="G262" t="inlineStr">
        <is>
          <t>TANUM</t>
        </is>
      </c>
      <c r="I262" t="n">
        <v>7.6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s="2" t="inlineStr"/>
    </row>
    <row r="263" ht="15" customHeight="1">
      <c r="A263" t="inlineStr">
        <is>
          <t>A 70979-2021</t>
        </is>
      </c>
      <c r="B263" t="inlineStr">
        <is>
          <t>avverkningsanmälan</t>
        </is>
      </c>
      <c r="C263" t="inlineStr">
        <is>
          <t>Föryngringsavverkning</t>
        </is>
      </c>
      <c r="D263" s="1" t="n">
        <v>44538</v>
      </c>
      <c r="E263" s="1" t="n">
        <v>46312</v>
      </c>
      <c r="F263" t="inlineStr">
        <is>
          <t>VÄSTRA GÖTALANDS LÄN</t>
        </is>
      </c>
      <c r="G263" t="inlineStr">
        <is>
          <t>TANUM</t>
        </is>
      </c>
      <c r="I263" t="n">
        <v>19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s="2" t="inlineStr"/>
    </row>
    <row r="264" ht="15" customHeight="1">
      <c r="A264" t="inlineStr">
        <is>
          <t>A 42795-2024</t>
        </is>
      </c>
      <c r="B264" t="inlineStr">
        <is>
          <t>avverkningsanmälan</t>
        </is>
      </c>
      <c r="C264" t="inlineStr">
        <is>
          <t>Föryngringsavverkning</t>
        </is>
      </c>
      <c r="D264" s="1" t="n">
        <v>45566</v>
      </c>
      <c r="E264" s="1" t="n">
        <v>46312</v>
      </c>
      <c r="F264" t="inlineStr">
        <is>
          <t>VÄSTRA GÖTALANDS LÄN</t>
        </is>
      </c>
      <c r="G264" t="inlineStr">
        <is>
          <t>TANUM</t>
        </is>
      </c>
      <c r="I264" t="n">
        <v>3.9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s="2" t="inlineStr"/>
    </row>
    <row r="265" ht="15" customHeight="1">
      <c r="A265" t="inlineStr">
        <is>
          <t>A 17471-2023</t>
        </is>
      </c>
      <c r="B265" t="inlineStr">
        <is>
          <t>avverkningsanmälan</t>
        </is>
      </c>
      <c r="C265" t="inlineStr">
        <is>
          <t>Föryngringsavverkning</t>
        </is>
      </c>
      <c r="D265" s="1" t="n">
        <v>45036</v>
      </c>
      <c r="E265" s="1" t="n">
        <v>46312</v>
      </c>
      <c r="F265" t="inlineStr">
        <is>
          <t>VÄSTRA GÖTALANDS LÄN</t>
        </is>
      </c>
      <c r="G265" t="inlineStr">
        <is>
          <t>TANUM</t>
        </is>
      </c>
      <c r="I265" t="n">
        <v>0.6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s="2" t="inlineStr"/>
    </row>
    <row r="266" ht="15" customHeight="1">
      <c r="A266" t="inlineStr">
        <is>
          <t>A 663-2026</t>
        </is>
      </c>
      <c r="B266" t="inlineStr">
        <is>
          <t>avverkningsanmälan</t>
        </is>
      </c>
      <c r="C266" t="inlineStr">
        <is>
          <t>Föryngringsavverkning</t>
        </is>
      </c>
      <c r="D266" s="1" t="n">
        <v>46029</v>
      </c>
      <c r="E266" s="1" t="n">
        <v>46312</v>
      </c>
      <c r="F266" t="inlineStr">
        <is>
          <t>VÄSTRA GÖTALANDS LÄN</t>
        </is>
      </c>
      <c r="G266" t="inlineStr">
        <is>
          <t>TANUM</t>
        </is>
      </c>
      <c r="I266" t="n">
        <v>4.2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s="2" t="inlineStr"/>
    </row>
    <row r="267" ht="15" customHeight="1">
      <c r="A267" t="inlineStr">
        <is>
          <t>A 641-2026</t>
        </is>
      </c>
      <c r="B267" t="inlineStr">
        <is>
          <t>avverkningsanmälan</t>
        </is>
      </c>
      <c r="C267" t="inlineStr">
        <is>
          <t>Föryngringsavverkning</t>
        </is>
      </c>
      <c r="D267" s="1" t="n">
        <v>46029</v>
      </c>
      <c r="E267" s="1" t="n">
        <v>46312</v>
      </c>
      <c r="F267" t="inlineStr">
        <is>
          <t>VÄSTRA GÖTALANDS LÄN</t>
        </is>
      </c>
      <c r="G267" t="inlineStr">
        <is>
          <t>TANUM</t>
        </is>
      </c>
      <c r="I267" t="n">
        <v>1.5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s="2" t="inlineStr"/>
    </row>
    <row r="268" ht="15" customHeight="1">
      <c r="A268" t="inlineStr">
        <is>
          <t>A 64529-2023</t>
        </is>
      </c>
      <c r="B268" t="inlineStr">
        <is>
          <t>avverkningsanmälan</t>
        </is>
      </c>
      <c r="C268" t="inlineStr">
        <is>
          <t>Föryngringsavverkning</t>
        </is>
      </c>
      <c r="D268" s="1" t="n">
        <v>45281</v>
      </c>
      <c r="E268" s="1" t="n">
        <v>46312</v>
      </c>
      <c r="F268" t="inlineStr">
        <is>
          <t>VÄSTRA GÖTALANDS LÄN</t>
        </is>
      </c>
      <c r="G268" t="inlineStr">
        <is>
          <t>TANUM</t>
        </is>
      </c>
      <c r="I268" t="n">
        <v>2.1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s="2" t="inlineStr"/>
    </row>
    <row r="269" ht="15" customHeight="1">
      <c r="A269" t="inlineStr">
        <is>
          <t>A 1326-2024</t>
        </is>
      </c>
      <c r="B269" t="inlineStr">
        <is>
          <t>avverkningsanmälan</t>
        </is>
      </c>
      <c r="C269" t="inlineStr">
        <is>
          <t>Föryngringsavverkning</t>
        </is>
      </c>
      <c r="D269" s="1" t="n">
        <v>45303</v>
      </c>
      <c r="E269" s="1" t="n">
        <v>46312</v>
      </c>
      <c r="F269" t="inlineStr">
        <is>
          <t>VÄSTRA GÖTALANDS LÄN</t>
        </is>
      </c>
      <c r="G269" t="inlineStr">
        <is>
          <t>TANUM</t>
        </is>
      </c>
      <c r="I269" t="n">
        <v>1.1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s="2" t="inlineStr"/>
    </row>
    <row r="270" ht="15" customHeight="1">
      <c r="A270" t="inlineStr">
        <is>
          <t>A 1412-2024</t>
        </is>
      </c>
      <c r="B270" t="inlineStr">
        <is>
          <t>avverkningsanmälan</t>
        </is>
      </c>
      <c r="C270" t="inlineStr">
        <is>
          <t>Föryngringsavverkning</t>
        </is>
      </c>
      <c r="D270" s="1" t="n">
        <v>45303</v>
      </c>
      <c r="E270" s="1" t="n">
        <v>46312</v>
      </c>
      <c r="F270" t="inlineStr">
        <is>
          <t>VÄSTRA GÖTALANDS LÄN</t>
        </is>
      </c>
      <c r="G270" t="inlineStr">
        <is>
          <t>TANUM</t>
        </is>
      </c>
      <c r="I270" t="n">
        <v>2.5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s="2" t="inlineStr"/>
    </row>
    <row r="271" ht="15" customHeight="1">
      <c r="A271" t="inlineStr">
        <is>
          <t>A 50183-2024</t>
        </is>
      </c>
      <c r="B271" t="inlineStr">
        <is>
          <t>avverkningsanmälan</t>
        </is>
      </c>
      <c r="C271" t="inlineStr">
        <is>
          <t>Föryngringsavverkning</t>
        </is>
      </c>
      <c r="D271" s="1" t="n">
        <v>45599</v>
      </c>
      <c r="E271" s="1" t="n">
        <v>46312</v>
      </c>
      <c r="F271" t="inlineStr">
        <is>
          <t>VÄSTRA GÖTALANDS LÄN</t>
        </is>
      </c>
      <c r="G271" t="inlineStr">
        <is>
          <t>TANUM</t>
        </is>
      </c>
      <c r="I271" t="n">
        <v>0.5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s="2" t="inlineStr"/>
    </row>
    <row r="272" ht="15" customHeight="1">
      <c r="A272" t="inlineStr">
        <is>
          <t>A 25161-2026</t>
        </is>
      </c>
      <c r="B272" t="inlineStr">
        <is>
          <t>avverkningsanmälan</t>
        </is>
      </c>
      <c r="C272" t="inlineStr">
        <is>
          <t>Föryngringsavverkning</t>
        </is>
      </c>
      <c r="D272" s="1" t="n">
        <v>46175</v>
      </c>
      <c r="E272" s="1" t="n">
        <v>46312</v>
      </c>
      <c r="F272" t="inlineStr">
        <is>
          <t>VÄSTRA GÖTALANDS LÄN</t>
        </is>
      </c>
      <c r="G272" t="inlineStr">
        <is>
          <t>TANUM</t>
        </is>
      </c>
      <c r="I272" t="n">
        <v>6.3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s="2" t="inlineStr"/>
    </row>
    <row r="273" ht="15" customHeight="1">
      <c r="A273" t="inlineStr">
        <is>
          <t>A 1406-2026</t>
        </is>
      </c>
      <c r="B273" t="inlineStr">
        <is>
          <t>avverkningsanmälan</t>
        </is>
      </c>
      <c r="C273" t="inlineStr">
        <is>
          <t>Föryngringsavverkning</t>
        </is>
      </c>
      <c r="D273" s="1" t="n">
        <v>46031</v>
      </c>
      <c r="E273" s="1" t="n">
        <v>46312</v>
      </c>
      <c r="F273" t="inlineStr">
        <is>
          <t>VÄSTRA GÖTALANDS LÄN</t>
        </is>
      </c>
      <c r="G273" t="inlineStr">
        <is>
          <t>TANUM</t>
        </is>
      </c>
      <c r="H273" t="inlineStr">
        <is>
          <t>Kommuner</t>
        </is>
      </c>
      <c r="I273" t="n">
        <v>3.5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s="2" t="inlineStr"/>
    </row>
    <row r="274" ht="15" customHeight="1">
      <c r="A274" t="inlineStr">
        <is>
          <t>A 1713-2026</t>
        </is>
      </c>
      <c r="B274" t="inlineStr">
        <is>
          <t>avverkningsanmälan</t>
        </is>
      </c>
      <c r="C274" t="inlineStr">
        <is>
          <t>Föryngringsavverkning</t>
        </is>
      </c>
      <c r="D274" s="1" t="n">
        <v>46034</v>
      </c>
      <c r="E274" s="1" t="n">
        <v>46312</v>
      </c>
      <c r="F274" t="inlineStr">
        <is>
          <t>VÄSTRA GÖTALANDS LÄN</t>
        </is>
      </c>
      <c r="G274" t="inlineStr">
        <is>
          <t>TANUM</t>
        </is>
      </c>
      <c r="I274" t="n">
        <v>1.4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s="2" t="inlineStr"/>
    </row>
    <row r="275" ht="15" customHeight="1">
      <c r="A275" t="inlineStr">
        <is>
          <t>A 25323-2026</t>
        </is>
      </c>
      <c r="B275" t="inlineStr">
        <is>
          <t>avverkningsanmälan</t>
        </is>
      </c>
      <c r="C275" t="inlineStr">
        <is>
          <t>Föryngringsavverkning</t>
        </is>
      </c>
      <c r="D275" s="1" t="n">
        <v>46176</v>
      </c>
      <c r="E275" s="1" t="n">
        <v>46312</v>
      </c>
      <c r="F275" t="inlineStr">
        <is>
          <t>VÄSTRA GÖTALANDS LÄN</t>
        </is>
      </c>
      <c r="G275" t="inlineStr">
        <is>
          <t>TANUM</t>
        </is>
      </c>
      <c r="I275" t="n">
        <v>2.3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s="2" t="inlineStr"/>
    </row>
    <row r="276" ht="15" customHeight="1">
      <c r="A276" t="inlineStr">
        <is>
          <t>A 25321-2026</t>
        </is>
      </c>
      <c r="B276" t="inlineStr">
        <is>
          <t>avverkningsanmälan</t>
        </is>
      </c>
      <c r="C276" t="inlineStr">
        <is>
          <t>Föryngringsavverkning</t>
        </is>
      </c>
      <c r="D276" s="1" t="n">
        <v>46176</v>
      </c>
      <c r="E276" s="1" t="n">
        <v>46312</v>
      </c>
      <c r="F276" t="inlineStr">
        <is>
          <t>VÄSTRA GÖTALANDS LÄN</t>
        </is>
      </c>
      <c r="G276" t="inlineStr">
        <is>
          <t>TANUM</t>
        </is>
      </c>
      <c r="I276" t="n">
        <v>4.7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s="2" t="inlineStr"/>
    </row>
    <row r="277" ht="15" customHeight="1">
      <c r="A277" t="inlineStr">
        <is>
          <t>A 25804-2026</t>
        </is>
      </c>
      <c r="B277" t="inlineStr">
        <is>
          <t>avverkningsanmälan</t>
        </is>
      </c>
      <c r="C277" t="inlineStr">
        <is>
          <t>Föryngringsavverkning</t>
        </is>
      </c>
      <c r="D277" s="1" t="n">
        <v>46178</v>
      </c>
      <c r="E277" s="1" t="n">
        <v>46312</v>
      </c>
      <c r="F277" t="inlineStr">
        <is>
          <t>VÄSTRA GÖTALANDS LÄN</t>
        </is>
      </c>
      <c r="G277" t="inlineStr">
        <is>
          <t>TANUM</t>
        </is>
      </c>
      <c r="I277" t="n">
        <v>2.5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s="2" t="inlineStr"/>
    </row>
    <row r="278" ht="15" customHeight="1">
      <c r="A278" t="inlineStr">
        <is>
          <t>A 2555-2026</t>
        </is>
      </c>
      <c r="B278" t="inlineStr">
        <is>
          <t>avverkningsanmälan</t>
        </is>
      </c>
      <c r="C278" t="inlineStr">
        <is>
          <t>Föryngringsavverkning</t>
        </is>
      </c>
      <c r="D278" s="1" t="n">
        <v>46037</v>
      </c>
      <c r="E278" s="1" t="n">
        <v>46312</v>
      </c>
      <c r="F278" t="inlineStr">
        <is>
          <t>VÄSTRA GÖTALANDS LÄN</t>
        </is>
      </c>
      <c r="G278" t="inlineStr">
        <is>
          <t>TANUM</t>
        </is>
      </c>
      <c r="I278" t="n">
        <v>1.2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s="2" t="inlineStr"/>
    </row>
    <row r="279" ht="15" customHeight="1">
      <c r="A279" t="inlineStr">
        <is>
          <t>A 2954-2026</t>
        </is>
      </c>
      <c r="B279" t="inlineStr">
        <is>
          <t>avverkningsanmälan</t>
        </is>
      </c>
      <c r="C279" t="inlineStr">
        <is>
          <t>Föryngringsavverkning</t>
        </is>
      </c>
      <c r="D279" s="1" t="n">
        <v>46038</v>
      </c>
      <c r="E279" s="1" t="n">
        <v>46312</v>
      </c>
      <c r="F279" t="inlineStr">
        <is>
          <t>VÄSTRA GÖTALANDS LÄN</t>
        </is>
      </c>
      <c r="G279" t="inlineStr">
        <is>
          <t>TANUM</t>
        </is>
      </c>
      <c r="I279" t="n">
        <v>1.8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s="2" t="inlineStr"/>
    </row>
    <row r="280" ht="15" customHeight="1">
      <c r="A280" t="inlineStr">
        <is>
          <t>A 2907-2026</t>
        </is>
      </c>
      <c r="B280" t="inlineStr">
        <is>
          <t>avverkningsanmälan</t>
        </is>
      </c>
      <c r="C280" t="inlineStr">
        <is>
          <t>Föryngringsavverkning</t>
        </is>
      </c>
      <c r="D280" s="1" t="n">
        <v>46038</v>
      </c>
      <c r="E280" s="1" t="n">
        <v>46312</v>
      </c>
      <c r="F280" t="inlineStr">
        <is>
          <t>VÄSTRA GÖTALANDS LÄN</t>
        </is>
      </c>
      <c r="G280" t="inlineStr">
        <is>
          <t>TANUM</t>
        </is>
      </c>
      <c r="I280" t="n">
        <v>2.4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s="2" t="inlineStr"/>
    </row>
    <row r="281" ht="15" customHeight="1">
      <c r="A281" t="inlineStr">
        <is>
          <t>A 2899-2026</t>
        </is>
      </c>
      <c r="B281" t="inlineStr">
        <is>
          <t>avverkningsanmälan</t>
        </is>
      </c>
      <c r="C281" t="inlineStr">
        <is>
          <t>Föryngringsavverkning</t>
        </is>
      </c>
      <c r="D281" s="1" t="n">
        <v>46038</v>
      </c>
      <c r="E281" s="1" t="n">
        <v>46312</v>
      </c>
      <c r="F281" t="inlineStr">
        <is>
          <t>VÄSTRA GÖTALANDS LÄN</t>
        </is>
      </c>
      <c r="G281" t="inlineStr">
        <is>
          <t>TANUM</t>
        </is>
      </c>
      <c r="I281" t="n">
        <v>2.5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s="2" t="inlineStr"/>
    </row>
    <row r="282" ht="15" customHeight="1">
      <c r="A282" t="inlineStr">
        <is>
          <t>A 25518-2026</t>
        </is>
      </c>
      <c r="B282" t="inlineStr">
        <is>
          <t>avverkningsanmälan</t>
        </is>
      </c>
      <c r="C282" t="inlineStr">
        <is>
          <t>Föryngringsavverkning</t>
        </is>
      </c>
      <c r="D282" s="1" t="n">
        <v>46177</v>
      </c>
      <c r="E282" s="1" t="n">
        <v>46312</v>
      </c>
      <c r="F282" t="inlineStr">
        <is>
          <t>VÄSTRA GÖTALANDS LÄN</t>
        </is>
      </c>
      <c r="G282" t="inlineStr">
        <is>
          <t>TANUM</t>
        </is>
      </c>
      <c r="I282" t="n">
        <v>11.6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s="2" t="inlineStr"/>
    </row>
    <row r="283" ht="15" customHeight="1">
      <c r="A283" t="inlineStr">
        <is>
          <t>A 25791-2026</t>
        </is>
      </c>
      <c r="B283" t="inlineStr">
        <is>
          <t>avverkningsanmälan</t>
        </is>
      </c>
      <c r="C283" t="inlineStr">
        <is>
          <t>Föryngringsavverkning</t>
        </is>
      </c>
      <c r="D283" s="1" t="n">
        <v>46178</v>
      </c>
      <c r="E283" s="1" t="n">
        <v>46312</v>
      </c>
      <c r="F283" t="inlineStr">
        <is>
          <t>VÄSTRA GÖTALANDS LÄN</t>
        </is>
      </c>
      <c r="G283" t="inlineStr">
        <is>
          <t>TANUM</t>
        </is>
      </c>
      <c r="I283" t="n">
        <v>1.3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s="2" t="inlineStr"/>
    </row>
    <row r="284" ht="15" customHeight="1">
      <c r="A284" t="inlineStr">
        <is>
          <t>A 3568-2026</t>
        </is>
      </c>
      <c r="B284" t="inlineStr">
        <is>
          <t>avverkningsanmälan</t>
        </is>
      </c>
      <c r="C284" t="inlineStr">
        <is>
          <t>Föryngringsavverkning</t>
        </is>
      </c>
      <c r="D284" s="1" t="n">
        <v>46042</v>
      </c>
      <c r="E284" s="1" t="n">
        <v>46312</v>
      </c>
      <c r="F284" t="inlineStr">
        <is>
          <t>VÄSTRA GÖTALANDS LÄN</t>
        </is>
      </c>
      <c r="G284" t="inlineStr">
        <is>
          <t>TANUM</t>
        </is>
      </c>
      <c r="I284" t="n">
        <v>1.9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s="2" t="inlineStr"/>
    </row>
    <row r="285" ht="15" customHeight="1">
      <c r="A285" t="inlineStr">
        <is>
          <t>A 4204-2026</t>
        </is>
      </c>
      <c r="B285" t="inlineStr">
        <is>
          <t>avverkningsanmälan</t>
        </is>
      </c>
      <c r="C285" t="inlineStr">
        <is>
          <t>Föryngringsavverkning</t>
        </is>
      </c>
      <c r="D285" s="1" t="n">
        <v>46044</v>
      </c>
      <c r="E285" s="1" t="n">
        <v>46312</v>
      </c>
      <c r="F285" t="inlineStr">
        <is>
          <t>VÄSTRA GÖTALANDS LÄN</t>
        </is>
      </c>
      <c r="G285" t="inlineStr">
        <is>
          <t>TANUM</t>
        </is>
      </c>
      <c r="I285" t="n">
        <v>3.1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s="2" t="inlineStr"/>
    </row>
    <row r="286" ht="15" customHeight="1">
      <c r="A286" t="inlineStr">
        <is>
          <t>A 4194-2026</t>
        </is>
      </c>
      <c r="B286" t="inlineStr">
        <is>
          <t>avverkningsanmälan</t>
        </is>
      </c>
      <c r="C286" t="inlineStr">
        <is>
          <t>Föryngringsavverkning</t>
        </is>
      </c>
      <c r="D286" s="1" t="n">
        <v>46044</v>
      </c>
      <c r="E286" s="1" t="n">
        <v>46312</v>
      </c>
      <c r="F286" t="inlineStr">
        <is>
          <t>VÄSTRA GÖTALANDS LÄN</t>
        </is>
      </c>
      <c r="G286" t="inlineStr">
        <is>
          <t>TANUM</t>
        </is>
      </c>
      <c r="I286" t="n">
        <v>2.6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s="2" t="inlineStr"/>
    </row>
    <row r="287" ht="15" customHeight="1">
      <c r="A287" t="inlineStr">
        <is>
          <t>A 4202-2026</t>
        </is>
      </c>
      <c r="B287" t="inlineStr">
        <is>
          <t>avverkningsanmälan</t>
        </is>
      </c>
      <c r="C287" t="inlineStr">
        <is>
          <t>Föryngringsavverkning</t>
        </is>
      </c>
      <c r="D287" s="1" t="n">
        <v>46044</v>
      </c>
      <c r="E287" s="1" t="n">
        <v>46312</v>
      </c>
      <c r="F287" t="inlineStr">
        <is>
          <t>VÄSTRA GÖTALANDS LÄN</t>
        </is>
      </c>
      <c r="G287" t="inlineStr">
        <is>
          <t>TANUM</t>
        </is>
      </c>
      <c r="I287" t="n">
        <v>0.8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s="2" t="inlineStr"/>
    </row>
    <row r="288" ht="15" customHeight="1">
      <c r="A288" t="inlineStr">
        <is>
          <t>A 4067-2026</t>
        </is>
      </c>
      <c r="B288" t="inlineStr">
        <is>
          <t>avverkningsanmälan</t>
        </is>
      </c>
      <c r="C288" t="inlineStr">
        <is>
          <t>Föryngringsavverkning</t>
        </is>
      </c>
      <c r="D288" s="1" t="n">
        <v>46044</v>
      </c>
      <c r="E288" s="1" t="n">
        <v>46312</v>
      </c>
      <c r="F288" t="inlineStr">
        <is>
          <t>VÄSTRA GÖTALANDS LÄN</t>
        </is>
      </c>
      <c r="G288" t="inlineStr">
        <is>
          <t>TANUM</t>
        </is>
      </c>
      <c r="I288" t="n">
        <v>2.3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s="2" t="inlineStr"/>
    </row>
    <row r="289" ht="15" customHeight="1">
      <c r="A289" t="inlineStr">
        <is>
          <t>A 4091-2026</t>
        </is>
      </c>
      <c r="B289" t="inlineStr">
        <is>
          <t>avverkningsanmälan</t>
        </is>
      </c>
      <c r="C289" t="inlineStr">
        <is>
          <t>Föryngringsavverkning</t>
        </is>
      </c>
      <c r="D289" s="1" t="n">
        <v>46044</v>
      </c>
      <c r="E289" s="1" t="n">
        <v>46312</v>
      </c>
      <c r="F289" t="inlineStr">
        <is>
          <t>VÄSTRA GÖTALANDS LÄN</t>
        </is>
      </c>
      <c r="G289" t="inlineStr">
        <is>
          <t>TANUM</t>
        </is>
      </c>
      <c r="I289" t="n">
        <v>1.1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s="2" t="inlineStr"/>
    </row>
    <row r="290" ht="15" customHeight="1">
      <c r="A290" t="inlineStr">
        <is>
          <t>A 4086-2026</t>
        </is>
      </c>
      <c r="B290" t="inlineStr">
        <is>
          <t>avverkningsanmälan</t>
        </is>
      </c>
      <c r="C290" t="inlineStr">
        <is>
          <t>Föryngringsavverkning</t>
        </is>
      </c>
      <c r="D290" s="1" t="n">
        <v>46044</v>
      </c>
      <c r="E290" s="1" t="n">
        <v>46312</v>
      </c>
      <c r="F290" t="inlineStr">
        <is>
          <t>VÄSTRA GÖTALANDS LÄN</t>
        </is>
      </c>
      <c r="G290" t="inlineStr">
        <is>
          <t>TANUM</t>
        </is>
      </c>
      <c r="I290" t="n">
        <v>1.2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s="2" t="inlineStr"/>
    </row>
    <row r="291" ht="15" customHeight="1">
      <c r="A291" t="inlineStr">
        <is>
          <t>A 4077-2026</t>
        </is>
      </c>
      <c r="B291" t="inlineStr">
        <is>
          <t>avverkningsanmälan</t>
        </is>
      </c>
      <c r="C291" t="inlineStr">
        <is>
          <t>Föryngringsavverkning</t>
        </is>
      </c>
      <c r="D291" s="1" t="n">
        <v>46044</v>
      </c>
      <c r="E291" s="1" t="n">
        <v>46312</v>
      </c>
      <c r="F291" t="inlineStr">
        <is>
          <t>VÄSTRA GÖTALANDS LÄN</t>
        </is>
      </c>
      <c r="G291" t="inlineStr">
        <is>
          <t>TANUM</t>
        </is>
      </c>
      <c r="I291" t="n">
        <v>2.2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s="2" t="inlineStr"/>
    </row>
    <row r="292" ht="15" customHeight="1">
      <c r="A292" t="inlineStr">
        <is>
          <t>A 4200-2026</t>
        </is>
      </c>
      <c r="B292" t="inlineStr">
        <is>
          <t>avverkningsanmälan</t>
        </is>
      </c>
      <c r="C292" t="inlineStr">
        <is>
          <t>Föryngringsavverkning</t>
        </is>
      </c>
      <c r="D292" s="1" t="n">
        <v>46044</v>
      </c>
      <c r="E292" s="1" t="n">
        <v>46312</v>
      </c>
      <c r="F292" t="inlineStr">
        <is>
          <t>VÄSTRA GÖTALANDS LÄN</t>
        </is>
      </c>
      <c r="G292" t="inlineStr">
        <is>
          <t>TANUM</t>
        </is>
      </c>
      <c r="I292" t="n">
        <v>2.9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s="2" t="inlineStr"/>
    </row>
    <row r="293" ht="15" customHeight="1">
      <c r="A293" t="inlineStr">
        <is>
          <t>A 4206-2026</t>
        </is>
      </c>
      <c r="B293" t="inlineStr">
        <is>
          <t>avverkningsanmälan</t>
        </is>
      </c>
      <c r="C293" t="inlineStr">
        <is>
          <t>Föryngringsavverkning</t>
        </is>
      </c>
      <c r="D293" s="1" t="n">
        <v>46044</v>
      </c>
      <c r="E293" s="1" t="n">
        <v>46312</v>
      </c>
      <c r="F293" t="inlineStr">
        <is>
          <t>VÄSTRA GÖTALANDS LÄN</t>
        </is>
      </c>
      <c r="G293" t="inlineStr">
        <is>
          <t>TANUM</t>
        </is>
      </c>
      <c r="I293" t="n">
        <v>0.9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s="2" t="inlineStr"/>
    </row>
    <row r="294" ht="15" customHeight="1">
      <c r="A294" t="inlineStr">
        <is>
          <t>A 44894-2023</t>
        </is>
      </c>
      <c r="B294" t="inlineStr">
        <is>
          <t>avverkningsanmälan</t>
        </is>
      </c>
      <c r="C294" t="inlineStr">
        <is>
          <t>Föryngringsavverkning</t>
        </is>
      </c>
      <c r="D294" s="1" t="n">
        <v>45190</v>
      </c>
      <c r="E294" s="1" t="n">
        <v>46312</v>
      </c>
      <c r="F294" t="inlineStr">
        <is>
          <t>VÄSTRA GÖTALANDS LÄN</t>
        </is>
      </c>
      <c r="G294" t="inlineStr">
        <is>
          <t>TANUM</t>
        </is>
      </c>
      <c r="I294" t="n">
        <v>3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s="2" t="inlineStr"/>
    </row>
    <row r="295" ht="15" customHeight="1">
      <c r="A295" t="inlineStr">
        <is>
          <t>A 26450-2026</t>
        </is>
      </c>
      <c r="B295" t="inlineStr">
        <is>
          <t>avverkningsanmälan</t>
        </is>
      </c>
      <c r="C295" t="inlineStr">
        <is>
          <t>Föryngringsavverkning</t>
        </is>
      </c>
      <c r="D295" s="1" t="n">
        <v>46183</v>
      </c>
      <c r="E295" s="1" t="n">
        <v>46312</v>
      </c>
      <c r="F295" t="inlineStr">
        <is>
          <t>VÄSTRA GÖTALANDS LÄN</t>
        </is>
      </c>
      <c r="G295" t="inlineStr">
        <is>
          <t>TANUM</t>
        </is>
      </c>
      <c r="I295" t="n">
        <v>4.1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s="2" t="inlineStr"/>
    </row>
    <row r="296" ht="15" customHeight="1">
      <c r="A296" t="inlineStr">
        <is>
          <t>A 2196-2025</t>
        </is>
      </c>
      <c r="B296" t="inlineStr">
        <is>
          <t>avverkningsanmälan</t>
        </is>
      </c>
      <c r="C296" t="inlineStr">
        <is>
          <t>Föryngringsavverkning</t>
        </is>
      </c>
      <c r="D296" s="1" t="n">
        <v>45673</v>
      </c>
      <c r="E296" s="1" t="n">
        <v>46312</v>
      </c>
      <c r="F296" t="inlineStr">
        <is>
          <t>VÄSTRA GÖTALANDS LÄN</t>
        </is>
      </c>
      <c r="G296" t="inlineStr">
        <is>
          <t>TANUM</t>
        </is>
      </c>
      <c r="I296" t="n">
        <v>2.6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s="2" t="inlineStr"/>
    </row>
    <row r="297" ht="15" customHeight="1">
      <c r="A297" t="inlineStr">
        <is>
          <t>A 7108-2026</t>
        </is>
      </c>
      <c r="B297" t="inlineStr">
        <is>
          <t>avverkningsanmälan</t>
        </is>
      </c>
      <c r="C297" t="inlineStr">
        <is>
          <t>Föryngringsavverkning</t>
        </is>
      </c>
      <c r="D297" s="1" t="n">
        <v>46058</v>
      </c>
      <c r="E297" s="1" t="n">
        <v>46312</v>
      </c>
      <c r="F297" t="inlineStr">
        <is>
          <t>VÄSTRA GÖTALANDS LÄN</t>
        </is>
      </c>
      <c r="G297" t="inlineStr">
        <is>
          <t>TANUM</t>
        </is>
      </c>
      <c r="H297" t="inlineStr">
        <is>
          <t>Kyrkan</t>
        </is>
      </c>
      <c r="I297" t="n">
        <v>2.6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s="2" t="inlineStr"/>
    </row>
    <row r="298" ht="15" customHeight="1">
      <c r="A298" t="inlineStr">
        <is>
          <t>A 55022-2023</t>
        </is>
      </c>
      <c r="B298" t="inlineStr">
        <is>
          <t>avverkningsanmälan</t>
        </is>
      </c>
      <c r="C298" t="inlineStr">
        <is>
          <t>Föryngringsavverkning</t>
        </is>
      </c>
      <c r="D298" s="1" t="n">
        <v>45237</v>
      </c>
      <c r="E298" s="1" t="n">
        <v>46312</v>
      </c>
      <c r="F298" t="inlineStr">
        <is>
          <t>VÄSTRA GÖTALANDS LÄN</t>
        </is>
      </c>
      <c r="G298" t="inlineStr">
        <is>
          <t>TANUM</t>
        </is>
      </c>
      <c r="I298" t="n">
        <v>0.6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s="2" t="inlineStr"/>
    </row>
    <row r="299" ht="15" customHeight="1">
      <c r="A299" t="inlineStr">
        <is>
          <t>A 438-2023</t>
        </is>
      </c>
      <c r="B299" t="inlineStr">
        <is>
          <t>avverkningsanmälan</t>
        </is>
      </c>
      <c r="C299" t="inlineStr">
        <is>
          <t>Föryngringsavverkning</t>
        </is>
      </c>
      <c r="D299" s="1" t="n">
        <v>44929</v>
      </c>
      <c r="E299" s="1" t="n">
        <v>46312</v>
      </c>
      <c r="F299" t="inlineStr">
        <is>
          <t>VÄSTRA GÖTALANDS LÄN</t>
        </is>
      </c>
      <c r="G299" t="inlineStr">
        <is>
          <t>TANUM</t>
        </is>
      </c>
      <c r="I299" t="n">
        <v>1.7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s="2" t="inlineStr"/>
    </row>
    <row r="300" ht="15" customHeight="1">
      <c r="A300" t="inlineStr">
        <is>
          <t>A 15061-2023</t>
        </is>
      </c>
      <c r="B300" t="inlineStr">
        <is>
          <t>avverkningsanmälan</t>
        </is>
      </c>
      <c r="C300" t="inlineStr">
        <is>
          <t>Föryngringsavverkning</t>
        </is>
      </c>
      <c r="D300" s="1" t="n">
        <v>45015</v>
      </c>
      <c r="E300" s="1" t="n">
        <v>46312</v>
      </c>
      <c r="F300" t="inlineStr">
        <is>
          <t>VÄSTRA GÖTALANDS LÄN</t>
        </is>
      </c>
      <c r="G300" t="inlineStr">
        <is>
          <t>TANUM</t>
        </is>
      </c>
      <c r="I300" t="n">
        <v>0.7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s="2" t="inlineStr"/>
    </row>
    <row r="301" ht="15" customHeight="1">
      <c r="A301" t="inlineStr">
        <is>
          <t>A 62005-2024</t>
        </is>
      </c>
      <c r="B301" t="inlineStr">
        <is>
          <t>avverkningsanmälan</t>
        </is>
      </c>
      <c r="C301" t="inlineStr">
        <is>
          <t>Föryngringsavverkning</t>
        </is>
      </c>
      <c r="D301" s="1" t="n">
        <v>45655</v>
      </c>
      <c r="E301" s="1" t="n">
        <v>46312</v>
      </c>
      <c r="F301" t="inlineStr">
        <is>
          <t>VÄSTRA GÖTALANDS LÄN</t>
        </is>
      </c>
      <c r="G301" t="inlineStr">
        <is>
          <t>TANUM</t>
        </is>
      </c>
      <c r="I301" t="n">
        <v>0.8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s="2" t="inlineStr"/>
    </row>
    <row r="302" ht="15" customHeight="1">
      <c r="A302" t="inlineStr">
        <is>
          <t>A 3487-2022</t>
        </is>
      </c>
      <c r="B302" t="inlineStr">
        <is>
          <t>avverkningsanmälan</t>
        </is>
      </c>
      <c r="C302" t="inlineStr">
        <is>
          <t>Föryngringsavverkning</t>
        </is>
      </c>
      <c r="D302" s="1" t="n">
        <v>44585</v>
      </c>
      <c r="E302" s="1" t="n">
        <v>46312</v>
      </c>
      <c r="F302" t="inlineStr">
        <is>
          <t>VÄSTRA GÖTALANDS LÄN</t>
        </is>
      </c>
      <c r="G302" t="inlineStr">
        <is>
          <t>TANUM</t>
        </is>
      </c>
      <c r="I302" t="n">
        <v>8.5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s="2" t="inlineStr"/>
    </row>
    <row r="303" ht="15" customHeight="1">
      <c r="A303" t="inlineStr">
        <is>
          <t>A 54817-2023</t>
        </is>
      </c>
      <c r="B303" t="inlineStr">
        <is>
          <t>avverkningsanmälan</t>
        </is>
      </c>
      <c r="C303" t="inlineStr">
        <is>
          <t>Föryngringsavverkning</t>
        </is>
      </c>
      <c r="D303" s="1" t="n">
        <v>45236</v>
      </c>
      <c r="E303" s="1" t="n">
        <v>46312</v>
      </c>
      <c r="F303" t="inlineStr">
        <is>
          <t>VÄSTRA GÖTALANDS LÄN</t>
        </is>
      </c>
      <c r="G303" t="inlineStr">
        <is>
          <t>TANUM</t>
        </is>
      </c>
      <c r="I303" t="n">
        <v>1.6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s="2" t="inlineStr"/>
    </row>
    <row r="304" ht="15" customHeight="1">
      <c r="A304" t="inlineStr">
        <is>
          <t>A 9445-2026</t>
        </is>
      </c>
      <c r="B304" t="inlineStr">
        <is>
          <t>avverkningsanmälan</t>
        </is>
      </c>
      <c r="C304" t="inlineStr">
        <is>
          <t>Föryngringsavverkning</t>
        </is>
      </c>
      <c r="D304" s="1" t="n">
        <v>46071</v>
      </c>
      <c r="E304" s="1" t="n">
        <v>46312</v>
      </c>
      <c r="F304" t="inlineStr">
        <is>
          <t>VÄSTRA GÖTALANDS LÄN</t>
        </is>
      </c>
      <c r="G304" t="inlineStr">
        <is>
          <t>TANUM</t>
        </is>
      </c>
      <c r="I304" t="n">
        <v>3.9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s="2" t="inlineStr"/>
    </row>
    <row r="305" ht="15" customHeight="1">
      <c r="A305" t="inlineStr">
        <is>
          <t>A 18006-2025</t>
        </is>
      </c>
      <c r="B305" t="inlineStr">
        <is>
          <t>avverkningsanmälan</t>
        </is>
      </c>
      <c r="C305" t="inlineStr">
        <is>
          <t>Föryngringsavverkning</t>
        </is>
      </c>
      <c r="D305" s="1" t="n">
        <v>45761</v>
      </c>
      <c r="E305" s="1" t="n">
        <v>46312</v>
      </c>
      <c r="F305" t="inlineStr">
        <is>
          <t>VÄSTRA GÖTALANDS LÄN</t>
        </is>
      </c>
      <c r="G305" t="inlineStr">
        <is>
          <t>TANUM</t>
        </is>
      </c>
      <c r="I305" t="n">
        <v>2.7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s="2" t="inlineStr"/>
    </row>
    <row r="306" ht="15" customHeight="1">
      <c r="A306" t="inlineStr">
        <is>
          <t>A 9437-2026</t>
        </is>
      </c>
      <c r="B306" t="inlineStr">
        <is>
          <t>avverkningsanmälan</t>
        </is>
      </c>
      <c r="C306" t="inlineStr">
        <is>
          <t>Föryngringsavverkning</t>
        </is>
      </c>
      <c r="D306" s="1" t="n">
        <v>46071</v>
      </c>
      <c r="E306" s="1" t="n">
        <v>46312</v>
      </c>
      <c r="F306" t="inlineStr">
        <is>
          <t>VÄSTRA GÖTALANDS LÄN</t>
        </is>
      </c>
      <c r="G306" t="inlineStr">
        <is>
          <t>TANUM</t>
        </is>
      </c>
      <c r="I306" t="n">
        <v>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s="2" t="inlineStr"/>
    </row>
    <row r="307" ht="15" customHeight="1">
      <c r="A307" t="inlineStr">
        <is>
          <t>A 23228-2022</t>
        </is>
      </c>
      <c r="B307" t="inlineStr">
        <is>
          <t>avverkningsanmälan</t>
        </is>
      </c>
      <c r="C307" t="inlineStr">
        <is>
          <t>Föryngringsavverkning</t>
        </is>
      </c>
      <c r="D307" s="1" t="n">
        <v>44719</v>
      </c>
      <c r="E307" s="1" t="n">
        <v>46312</v>
      </c>
      <c r="F307" t="inlineStr">
        <is>
          <t>VÄSTRA GÖTALANDS LÄN</t>
        </is>
      </c>
      <c r="G307" t="inlineStr">
        <is>
          <t>TANUM</t>
        </is>
      </c>
      <c r="I307" t="n">
        <v>1.3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s="2" t="inlineStr"/>
    </row>
    <row r="308" ht="15" customHeight="1">
      <c r="A308" t="inlineStr">
        <is>
          <t>A 13423-2024</t>
        </is>
      </c>
      <c r="B308" t="inlineStr">
        <is>
          <t>avverkningsanmälan</t>
        </is>
      </c>
      <c r="C308" t="inlineStr">
        <is>
          <t>Föryngringsavverkning</t>
        </is>
      </c>
      <c r="D308" s="1" t="n">
        <v>45387</v>
      </c>
      <c r="E308" s="1" t="n">
        <v>46312</v>
      </c>
      <c r="F308" t="inlineStr">
        <is>
          <t>VÄSTRA GÖTALANDS LÄN</t>
        </is>
      </c>
      <c r="G308" t="inlineStr">
        <is>
          <t>TANUM</t>
        </is>
      </c>
      <c r="I308" t="n">
        <v>3.6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s="2" t="inlineStr"/>
    </row>
    <row r="309" ht="15" customHeight="1">
      <c r="A309" t="inlineStr">
        <is>
          <t>A 11736-2026</t>
        </is>
      </c>
      <c r="B309" t="inlineStr">
        <is>
          <t>avverkningsanmälan</t>
        </is>
      </c>
      <c r="C309" t="inlineStr">
        <is>
          <t>Föryngringsavverkning</t>
        </is>
      </c>
      <c r="D309" s="1" t="n">
        <v>46084</v>
      </c>
      <c r="E309" s="1" t="n">
        <v>46312</v>
      </c>
      <c r="F309" t="inlineStr">
        <is>
          <t>VÄSTRA GÖTALANDS LÄN</t>
        </is>
      </c>
      <c r="G309" t="inlineStr">
        <is>
          <t>TANUM</t>
        </is>
      </c>
      <c r="I309" t="n">
        <v>1.8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s="2" t="inlineStr"/>
    </row>
    <row r="310" ht="15" customHeight="1">
      <c r="A310" t="inlineStr">
        <is>
          <t>A 11750-2026</t>
        </is>
      </c>
      <c r="B310" t="inlineStr">
        <is>
          <t>avverkningsanmälan</t>
        </is>
      </c>
      <c r="C310" t="inlineStr">
        <is>
          <t>Föryngringsavverkning</t>
        </is>
      </c>
      <c r="D310" s="1" t="n">
        <v>46084</v>
      </c>
      <c r="E310" s="1" t="n">
        <v>46312</v>
      </c>
      <c r="F310" t="inlineStr">
        <is>
          <t>VÄSTRA GÖTALANDS LÄN</t>
        </is>
      </c>
      <c r="G310" t="inlineStr">
        <is>
          <t>TANUM</t>
        </is>
      </c>
      <c r="I310" t="n">
        <v>1.3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s="2" t="inlineStr"/>
    </row>
    <row r="311" ht="15" customHeight="1">
      <c r="A311" t="inlineStr">
        <is>
          <t>A 11530-2026</t>
        </is>
      </c>
      <c r="B311" t="inlineStr">
        <is>
          <t>avverkningsanmälan</t>
        </is>
      </c>
      <c r="C311" t="inlineStr">
        <is>
          <t>Föryngringsavverkning</t>
        </is>
      </c>
      <c r="D311" s="1" t="n">
        <v>46083</v>
      </c>
      <c r="E311" s="1" t="n">
        <v>46312</v>
      </c>
      <c r="F311" t="inlineStr">
        <is>
          <t>VÄSTRA GÖTALANDS LÄN</t>
        </is>
      </c>
      <c r="G311" t="inlineStr">
        <is>
          <t>TANUM</t>
        </is>
      </c>
      <c r="I311" t="n">
        <v>1.5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s="2" t="inlineStr"/>
    </row>
    <row r="312" ht="15" customHeight="1">
      <c r="A312" t="inlineStr">
        <is>
          <t>A 11809-2026</t>
        </is>
      </c>
      <c r="B312" t="inlineStr">
        <is>
          <t>avverkningsanmälan</t>
        </is>
      </c>
      <c r="C312" t="inlineStr">
        <is>
          <t>Avverkning för annat ändamål</t>
        </is>
      </c>
      <c r="D312" s="1" t="n">
        <v>46085</v>
      </c>
      <c r="E312" s="1" t="n">
        <v>46312</v>
      </c>
      <c r="F312" t="inlineStr">
        <is>
          <t>VÄSTRA GÖTALANDS LÄN</t>
        </is>
      </c>
      <c r="G312" t="inlineStr">
        <is>
          <t>TANUM</t>
        </is>
      </c>
      <c r="I312" t="n">
        <v>0.4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s="2" t="inlineStr"/>
    </row>
    <row r="313" ht="15" customHeight="1">
      <c r="A313" t="inlineStr">
        <is>
          <t>A 27656-2026</t>
        </is>
      </c>
      <c r="B313" t="inlineStr">
        <is>
          <t>avverkningsanmälan</t>
        </is>
      </c>
      <c r="C313" t="inlineStr">
        <is>
          <t>Föryngringsavverkning</t>
        </is>
      </c>
      <c r="D313" s="1" t="n">
        <v>46190</v>
      </c>
      <c r="E313" s="1" t="n">
        <v>46312</v>
      </c>
      <c r="F313" t="inlineStr">
        <is>
          <t>VÄSTRA GÖTALANDS LÄN</t>
        </is>
      </c>
      <c r="G313" t="inlineStr">
        <is>
          <t>TANUM</t>
        </is>
      </c>
      <c r="I313" t="n">
        <v>1.5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s="2" t="inlineStr"/>
    </row>
    <row r="314" ht="15" customHeight="1">
      <c r="A314" t="inlineStr">
        <is>
          <t>A 42079-2022</t>
        </is>
      </c>
      <c r="B314" t="inlineStr">
        <is>
          <t>avverkningsanmälan</t>
        </is>
      </c>
      <c r="C314" t="inlineStr">
        <is>
          <t>Föryngringsavverkning</t>
        </is>
      </c>
      <c r="D314" s="1" t="n">
        <v>44830</v>
      </c>
      <c r="E314" s="1" t="n">
        <v>46312</v>
      </c>
      <c r="F314" t="inlineStr">
        <is>
          <t>VÄSTRA GÖTALANDS LÄN</t>
        </is>
      </c>
      <c r="G314" t="inlineStr">
        <is>
          <t>TANUM</t>
        </is>
      </c>
      <c r="I314" t="n">
        <v>5.5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s="2" t="inlineStr"/>
    </row>
    <row r="315" ht="15" customHeight="1">
      <c r="A315" t="inlineStr">
        <is>
          <t>A 24100-2022</t>
        </is>
      </c>
      <c r="B315" t="inlineStr">
        <is>
          <t>avverkningsanmälan</t>
        </is>
      </c>
      <c r="C315" t="inlineStr">
        <is>
          <t>Avverkning för annat ändamål</t>
        </is>
      </c>
      <c r="D315" s="1" t="n">
        <v>44725</v>
      </c>
      <c r="E315" s="1" t="n">
        <v>46312</v>
      </c>
      <c r="F315" t="inlineStr">
        <is>
          <t>VÄSTRA GÖTALANDS LÄN</t>
        </is>
      </c>
      <c r="G315" t="inlineStr">
        <is>
          <t>TANUM</t>
        </is>
      </c>
      <c r="I315" t="n">
        <v>10.7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s="2" t="inlineStr"/>
    </row>
    <row r="316" ht="15" customHeight="1">
      <c r="A316" t="inlineStr">
        <is>
          <t>A 11142-2024</t>
        </is>
      </c>
      <c r="B316" t="inlineStr">
        <is>
          <t>avverkningsanmälan</t>
        </is>
      </c>
      <c r="C316" t="inlineStr">
        <is>
          <t>Föryngringsavverkning</t>
        </is>
      </c>
      <c r="D316" s="1" t="n">
        <v>45371</v>
      </c>
      <c r="E316" s="1" t="n">
        <v>46312</v>
      </c>
      <c r="F316" t="inlineStr">
        <is>
          <t>VÄSTRA GÖTALANDS LÄN</t>
        </is>
      </c>
      <c r="G316" t="inlineStr">
        <is>
          <t>TANUM</t>
        </is>
      </c>
      <c r="I316" t="n">
        <v>4.2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s="2" t="inlineStr"/>
    </row>
    <row r="317" ht="15" customHeight="1">
      <c r="A317" t="inlineStr">
        <is>
          <t>A 62500-2023</t>
        </is>
      </c>
      <c r="B317" t="inlineStr">
        <is>
          <t>avverkningsanmälan</t>
        </is>
      </c>
      <c r="C317" t="inlineStr">
        <is>
          <t>Föryngringsavverkning</t>
        </is>
      </c>
      <c r="D317" s="1" t="n">
        <v>45267</v>
      </c>
      <c r="E317" s="1" t="n">
        <v>46312</v>
      </c>
      <c r="F317" t="inlineStr">
        <is>
          <t>VÄSTRA GÖTALANDS LÄN</t>
        </is>
      </c>
      <c r="G317" t="inlineStr">
        <is>
          <t>TANUM</t>
        </is>
      </c>
      <c r="H317" t="inlineStr">
        <is>
          <t>Kyrkan</t>
        </is>
      </c>
      <c r="I317" t="n">
        <v>1.4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s="2" t="inlineStr"/>
    </row>
    <row r="318" ht="15" customHeight="1">
      <c r="A318" t="inlineStr">
        <is>
          <t>A 24116-2022</t>
        </is>
      </c>
      <c r="B318" t="inlineStr">
        <is>
          <t>avverkningsanmälan</t>
        </is>
      </c>
      <c r="C318" t="inlineStr">
        <is>
          <t>Föryngringsavverkning</t>
        </is>
      </c>
      <c r="D318" s="1" t="n">
        <v>44725</v>
      </c>
      <c r="E318" s="1" t="n">
        <v>46312</v>
      </c>
      <c r="F318" t="inlineStr">
        <is>
          <t>VÄSTRA GÖTALANDS LÄN</t>
        </is>
      </c>
      <c r="G318" t="inlineStr">
        <is>
          <t>TANUM</t>
        </is>
      </c>
      <c r="I318" t="n">
        <v>1.2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s="2" t="inlineStr"/>
    </row>
    <row r="319" ht="15" customHeight="1">
      <c r="A319" t="inlineStr">
        <is>
          <t>A 51083-2024</t>
        </is>
      </c>
      <c r="B319" t="inlineStr">
        <is>
          <t>avverkningsanmälan</t>
        </is>
      </c>
      <c r="C319" t="inlineStr">
        <is>
          <t>Föryngringsavverkning</t>
        </is>
      </c>
      <c r="D319" s="1" t="n">
        <v>45603</v>
      </c>
      <c r="E319" s="1" t="n">
        <v>46312</v>
      </c>
      <c r="F319" t="inlineStr">
        <is>
          <t>VÄSTRA GÖTALANDS LÄN</t>
        </is>
      </c>
      <c r="G319" t="inlineStr">
        <is>
          <t>TANUM</t>
        </is>
      </c>
      <c r="I319" t="n">
        <v>0.8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s="2" t="inlineStr"/>
    </row>
    <row r="320" ht="15" customHeight="1">
      <c r="A320" t="inlineStr">
        <is>
          <t>A 13160-2026</t>
        </is>
      </c>
      <c r="B320" t="inlineStr">
        <is>
          <t>avverkningsanmälan</t>
        </is>
      </c>
      <c r="C320" t="inlineStr">
        <is>
          <t>Föryngringsavverkning</t>
        </is>
      </c>
      <c r="D320" s="1" t="n">
        <v>46093</v>
      </c>
      <c r="E320" s="1" t="n">
        <v>46312</v>
      </c>
      <c r="F320" t="inlineStr">
        <is>
          <t>VÄSTRA GÖTALANDS LÄN</t>
        </is>
      </c>
      <c r="G320" t="inlineStr">
        <is>
          <t>TANUM</t>
        </is>
      </c>
      <c r="I320" t="n">
        <v>1.3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s="2" t="inlineStr"/>
    </row>
    <row r="321" ht="15" customHeight="1">
      <c r="A321" t="inlineStr">
        <is>
          <t>A 72223-2021</t>
        </is>
      </c>
      <c r="B321" t="inlineStr">
        <is>
          <t>avverkningsanmälan</t>
        </is>
      </c>
      <c r="C321" t="inlineStr">
        <is>
          <t>Föryngringsavverkning</t>
        </is>
      </c>
      <c r="D321" s="1" t="n">
        <v>44544</v>
      </c>
      <c r="E321" s="1" t="n">
        <v>46312</v>
      </c>
      <c r="F321" t="inlineStr">
        <is>
          <t>VÄSTRA GÖTALANDS LÄN</t>
        </is>
      </c>
      <c r="G321" t="inlineStr">
        <is>
          <t>TANUM</t>
        </is>
      </c>
      <c r="I321" t="n">
        <v>0.9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s="2" t="inlineStr"/>
    </row>
    <row r="322" ht="15" customHeight="1">
      <c r="A322" t="inlineStr">
        <is>
          <t>A 14469-2026</t>
        </is>
      </c>
      <c r="B322" t="inlineStr">
        <is>
          <t>avverkningsanmälan</t>
        </is>
      </c>
      <c r="C322" t="inlineStr">
        <is>
          <t>Föryngringsavverkning</t>
        </is>
      </c>
      <c r="D322" s="1" t="n">
        <v>46100</v>
      </c>
      <c r="E322" s="1" t="n">
        <v>46312</v>
      </c>
      <c r="F322" t="inlineStr">
        <is>
          <t>VÄSTRA GÖTALANDS LÄN</t>
        </is>
      </c>
      <c r="G322" t="inlineStr">
        <is>
          <t>TANUM</t>
        </is>
      </c>
      <c r="H322" t="inlineStr">
        <is>
          <t>Sveaskog</t>
        </is>
      </c>
      <c r="I322" t="n">
        <v>12.2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s="2" t="inlineStr"/>
    </row>
    <row r="323" ht="15" customHeight="1">
      <c r="A323" t="inlineStr">
        <is>
          <t>A 14248-2026</t>
        </is>
      </c>
      <c r="B323" t="inlineStr">
        <is>
          <t>avverkningsanmälan</t>
        </is>
      </c>
      <c r="C323" t="inlineStr">
        <is>
          <t>Föryngringsavverkning</t>
        </is>
      </c>
      <c r="D323" s="1" t="n">
        <v>46099</v>
      </c>
      <c r="E323" s="1" t="n">
        <v>46312</v>
      </c>
      <c r="F323" t="inlineStr">
        <is>
          <t>VÄSTRA GÖTALANDS LÄN</t>
        </is>
      </c>
      <c r="G323" t="inlineStr">
        <is>
          <t>TANUM</t>
        </is>
      </c>
      <c r="H323" t="inlineStr">
        <is>
          <t>Kyrkan</t>
        </is>
      </c>
      <c r="I323" t="n">
        <v>1.1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s="2" t="inlineStr"/>
    </row>
    <row r="324" ht="15" customHeight="1">
      <c r="A324" t="inlineStr">
        <is>
          <t>A 14498-2026</t>
        </is>
      </c>
      <c r="B324" t="inlineStr">
        <is>
          <t>avverkningsanmälan</t>
        </is>
      </c>
      <c r="C324" t="inlineStr">
        <is>
          <t>Föryngringsavverkning</t>
        </is>
      </c>
      <c r="D324" s="1" t="n">
        <v>46100</v>
      </c>
      <c r="E324" s="1" t="n">
        <v>46312</v>
      </c>
      <c r="F324" t="inlineStr">
        <is>
          <t>VÄSTRA GÖTALANDS LÄN</t>
        </is>
      </c>
      <c r="G324" t="inlineStr">
        <is>
          <t>TANUM</t>
        </is>
      </c>
      <c r="I324" t="n">
        <v>3.5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s="2" t="inlineStr"/>
    </row>
    <row r="325" ht="15" customHeight="1">
      <c r="A325" t="inlineStr">
        <is>
          <t>A 7705-2023</t>
        </is>
      </c>
      <c r="B325" t="inlineStr">
        <is>
          <t>avverkningsanmälan</t>
        </is>
      </c>
      <c r="C325" t="inlineStr">
        <is>
          <t>Föryngringsavverkning</t>
        </is>
      </c>
      <c r="D325" s="1" t="n">
        <v>44969</v>
      </c>
      <c r="E325" s="1" t="n">
        <v>46312</v>
      </c>
      <c r="F325" t="inlineStr">
        <is>
          <t>VÄSTRA GÖTALANDS LÄN</t>
        </is>
      </c>
      <c r="G325" t="inlineStr">
        <is>
          <t>TANUM</t>
        </is>
      </c>
      <c r="I325" t="n">
        <v>2.1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s="2" t="inlineStr"/>
    </row>
    <row r="326" ht="15" customHeight="1">
      <c r="A326" t="inlineStr">
        <is>
          <t>A 63173-2023</t>
        </is>
      </c>
      <c r="B326" t="inlineStr">
        <is>
          <t>avverkningsanmälan</t>
        </is>
      </c>
      <c r="C326" t="inlineStr">
        <is>
          <t>Föryngringsavverkning</t>
        </is>
      </c>
      <c r="D326" s="1" t="n">
        <v>45273</v>
      </c>
      <c r="E326" s="1" t="n">
        <v>46312</v>
      </c>
      <c r="F326" t="inlineStr">
        <is>
          <t>VÄSTRA GÖTALANDS LÄN</t>
        </is>
      </c>
      <c r="G326" t="inlineStr">
        <is>
          <t>TANUM</t>
        </is>
      </c>
      <c r="I326" t="n">
        <v>5.5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s="2" t="inlineStr"/>
    </row>
    <row r="327" ht="15" customHeight="1">
      <c r="A327" t="inlineStr">
        <is>
          <t>A 11786-2024</t>
        </is>
      </c>
      <c r="B327" t="inlineStr">
        <is>
          <t>avverkningsanmälan</t>
        </is>
      </c>
      <c r="C327" t="inlineStr">
        <is>
          <t>Föryngringsavverkning</t>
        </is>
      </c>
      <c r="D327" s="1" t="n">
        <v>45374</v>
      </c>
      <c r="E327" s="1" t="n">
        <v>46312</v>
      </c>
      <c r="F327" t="inlineStr">
        <is>
          <t>VÄSTRA GÖTALANDS LÄN</t>
        </is>
      </c>
      <c r="G327" t="inlineStr">
        <is>
          <t>TANUM</t>
        </is>
      </c>
      <c r="I327" t="n">
        <v>12.4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s="2" t="inlineStr"/>
    </row>
    <row r="328" ht="15" customHeight="1">
      <c r="A328" t="inlineStr">
        <is>
          <t>A 34497-2024</t>
        </is>
      </c>
      <c r="B328" t="inlineStr">
        <is>
          <t>avverkningsanmälan</t>
        </is>
      </c>
      <c r="C328" t="inlineStr">
        <is>
          <t>Föryngringsavverkning</t>
        </is>
      </c>
      <c r="D328" s="1" t="n">
        <v>45525</v>
      </c>
      <c r="E328" s="1" t="n">
        <v>46312</v>
      </c>
      <c r="F328" t="inlineStr">
        <is>
          <t>VÄSTRA GÖTALANDS LÄN</t>
        </is>
      </c>
      <c r="G328" t="inlineStr">
        <is>
          <t>TANUM</t>
        </is>
      </c>
      <c r="I328" t="n">
        <v>1.2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s="2" t="inlineStr"/>
    </row>
    <row r="329" ht="15" customHeight="1">
      <c r="A329" t="inlineStr">
        <is>
          <t>A 16662-2023</t>
        </is>
      </c>
      <c r="B329" t="inlineStr">
        <is>
          <t>avverkningsanmälan</t>
        </is>
      </c>
      <c r="C329" t="inlineStr">
        <is>
          <t>Föryngringsavverkning</t>
        </is>
      </c>
      <c r="D329" s="1" t="n">
        <v>45030</v>
      </c>
      <c r="E329" s="1" t="n">
        <v>46312</v>
      </c>
      <c r="F329" t="inlineStr">
        <is>
          <t>VÄSTRA GÖTALANDS LÄN</t>
        </is>
      </c>
      <c r="G329" t="inlineStr">
        <is>
          <t>TANUM</t>
        </is>
      </c>
      <c r="I329" t="n">
        <v>5.9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s="2" t="inlineStr"/>
    </row>
    <row r="330" ht="15" customHeight="1">
      <c r="A330" t="inlineStr">
        <is>
          <t>A 8535-2024</t>
        </is>
      </c>
      <c r="B330" t="inlineStr">
        <is>
          <t>avverkningsanmälan</t>
        </is>
      </c>
      <c r="C330" t="inlineStr">
        <is>
          <t>Föryngringsavverkning</t>
        </is>
      </c>
      <c r="D330" s="1" t="n">
        <v>45355</v>
      </c>
      <c r="E330" s="1" t="n">
        <v>46312</v>
      </c>
      <c r="F330" t="inlineStr">
        <is>
          <t>VÄSTRA GÖTALANDS LÄN</t>
        </is>
      </c>
      <c r="G330" t="inlineStr">
        <is>
          <t>TANUM</t>
        </is>
      </c>
      <c r="I330" t="n">
        <v>1.9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s="2" t="inlineStr"/>
    </row>
    <row r="331" ht="15" customHeight="1">
      <c r="A331" t="inlineStr">
        <is>
          <t>A 30495-2023</t>
        </is>
      </c>
      <c r="B331" t="inlineStr">
        <is>
          <t>avverkningsanmälan</t>
        </is>
      </c>
      <c r="C331" t="inlineStr">
        <is>
          <t>Föryngringsavverkning</t>
        </is>
      </c>
      <c r="D331" s="1" t="n">
        <v>45102</v>
      </c>
      <c r="E331" s="1" t="n">
        <v>46312</v>
      </c>
      <c r="F331" t="inlineStr">
        <is>
          <t>VÄSTRA GÖTALANDS LÄN</t>
        </is>
      </c>
      <c r="G331" t="inlineStr">
        <is>
          <t>TANUM</t>
        </is>
      </c>
      <c r="I331" t="n">
        <v>1.6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s="2" t="inlineStr"/>
    </row>
    <row r="332" ht="15" customHeight="1">
      <c r="A332" t="inlineStr">
        <is>
          <t>A 15991-2023</t>
        </is>
      </c>
      <c r="B332" t="inlineStr">
        <is>
          <t>avverkningsanmälan</t>
        </is>
      </c>
      <c r="C332" t="inlineStr">
        <is>
          <t>Föryngringsavverkning</t>
        </is>
      </c>
      <c r="D332" s="1" t="n">
        <v>45023</v>
      </c>
      <c r="E332" s="1" t="n">
        <v>46312</v>
      </c>
      <c r="F332" t="inlineStr">
        <is>
          <t>VÄSTRA GÖTALANDS LÄN</t>
        </is>
      </c>
      <c r="G332" t="inlineStr">
        <is>
          <t>TANUM</t>
        </is>
      </c>
      <c r="I332" t="n">
        <v>7.1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s="2" t="inlineStr"/>
    </row>
    <row r="333" ht="15" customHeight="1">
      <c r="A333" t="inlineStr">
        <is>
          <t>A 25004-2023</t>
        </is>
      </c>
      <c r="B333" t="inlineStr">
        <is>
          <t>avverkningsanmälan</t>
        </is>
      </c>
      <c r="C333" t="inlineStr">
        <is>
          <t>Föryngringsavverkning</t>
        </is>
      </c>
      <c r="D333" s="1" t="n">
        <v>45085</v>
      </c>
      <c r="E333" s="1" t="n">
        <v>46312</v>
      </c>
      <c r="F333" t="inlineStr">
        <is>
          <t>VÄSTRA GÖTALANDS LÄN</t>
        </is>
      </c>
      <c r="G333" t="inlineStr">
        <is>
          <t>TANUM</t>
        </is>
      </c>
      <c r="I333" t="n">
        <v>1.1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s="2" t="inlineStr"/>
    </row>
    <row r="334" ht="15" customHeight="1">
      <c r="A334" t="inlineStr">
        <is>
          <t>A 18135-2026</t>
        </is>
      </c>
      <c r="B334" t="inlineStr">
        <is>
          <t>avverkningsanmälan</t>
        </is>
      </c>
      <c r="C334" t="inlineStr">
        <is>
          <t>Föryngringsavverkning</t>
        </is>
      </c>
      <c r="D334" s="1" t="n">
        <v>46125</v>
      </c>
      <c r="E334" s="1" t="n">
        <v>46312</v>
      </c>
      <c r="F334" t="inlineStr">
        <is>
          <t>VÄSTRA GÖTALANDS LÄN</t>
        </is>
      </c>
      <c r="G334" t="inlineStr">
        <is>
          <t>TANUM</t>
        </is>
      </c>
      <c r="I334" t="n">
        <v>9.300000000000001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s="2" t="inlineStr"/>
    </row>
    <row r="335" ht="15" customHeight="1">
      <c r="A335" t="inlineStr">
        <is>
          <t>A 28997-2026</t>
        </is>
      </c>
      <c r="B335" t="inlineStr">
        <is>
          <t>avverkningsanmälan</t>
        </is>
      </c>
      <c r="C335" t="inlineStr">
        <is>
          <t>Föryngringsavverkning</t>
        </is>
      </c>
      <c r="D335" s="1" t="n">
        <v>46199</v>
      </c>
      <c r="E335" s="1" t="n">
        <v>46312</v>
      </c>
      <c r="F335" t="inlineStr">
        <is>
          <t>VÄSTRA GÖTALANDS LÄN</t>
        </is>
      </c>
      <c r="G335" t="inlineStr">
        <is>
          <t>TANUM</t>
        </is>
      </c>
      <c r="I335" t="n">
        <v>2.5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s="2" t="inlineStr"/>
    </row>
    <row r="336" ht="15" customHeight="1">
      <c r="A336" t="inlineStr">
        <is>
          <t>A 1440-2022</t>
        </is>
      </c>
      <c r="B336" t="inlineStr">
        <is>
          <t>avverkningsanmälan</t>
        </is>
      </c>
      <c r="C336" t="inlineStr">
        <is>
          <t>Föryngringsavverkning</t>
        </is>
      </c>
      <c r="D336" s="1" t="n">
        <v>44573</v>
      </c>
      <c r="E336" s="1" t="n">
        <v>46312</v>
      </c>
      <c r="F336" t="inlineStr">
        <is>
          <t>VÄSTRA GÖTALANDS LÄN</t>
        </is>
      </c>
      <c r="G336" t="inlineStr">
        <is>
          <t>TANUM</t>
        </is>
      </c>
      <c r="I336" t="n">
        <v>4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s="2" t="inlineStr"/>
    </row>
    <row r="337" ht="15" customHeight="1">
      <c r="A337" t="inlineStr">
        <is>
          <t>A 63198-2025</t>
        </is>
      </c>
      <c r="B337" t="inlineStr">
        <is>
          <t>avverkningsanmälan</t>
        </is>
      </c>
      <c r="C337" t="inlineStr">
        <is>
          <t>Föryngringsavverkning</t>
        </is>
      </c>
      <c r="D337" s="1" t="n">
        <v>46010</v>
      </c>
      <c r="E337" s="1" t="n">
        <v>46312</v>
      </c>
      <c r="F337" t="inlineStr">
        <is>
          <t>VÄSTRA GÖTALANDS LÄN</t>
        </is>
      </c>
      <c r="G337" t="inlineStr">
        <is>
          <t>TANUM</t>
        </is>
      </c>
      <c r="I337" t="n">
        <v>2.4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s="2" t="inlineStr"/>
    </row>
    <row r="338" ht="15" customHeight="1">
      <c r="A338" t="inlineStr">
        <is>
          <t>A 64066-2023</t>
        </is>
      </c>
      <c r="B338" t="inlineStr">
        <is>
          <t>avverkningsanmälan</t>
        </is>
      </c>
      <c r="C338" t="inlineStr">
        <is>
          <t>Föryngringsavverkning</t>
        </is>
      </c>
      <c r="D338" s="1" t="n">
        <v>45279</v>
      </c>
      <c r="E338" s="1" t="n">
        <v>46312</v>
      </c>
      <c r="F338" t="inlineStr">
        <is>
          <t>VÄSTRA GÖTALANDS LÄN</t>
        </is>
      </c>
      <c r="G338" t="inlineStr">
        <is>
          <t>TANUM</t>
        </is>
      </c>
      <c r="I338" t="n">
        <v>4.2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s="2" t="inlineStr"/>
    </row>
    <row r="339" ht="15" customHeight="1">
      <c r="A339" t="inlineStr">
        <is>
          <t>A 48302-2022</t>
        </is>
      </c>
      <c r="B339" t="inlineStr">
        <is>
          <t>avverkningsanmälan</t>
        </is>
      </c>
      <c r="C339" t="inlineStr">
        <is>
          <t>Föryngringsavverkning</t>
        </is>
      </c>
      <c r="D339" s="1" t="n">
        <v>44858</v>
      </c>
      <c r="E339" s="1" t="n">
        <v>46312</v>
      </c>
      <c r="F339" t="inlineStr">
        <is>
          <t>VÄSTRA GÖTALANDS LÄN</t>
        </is>
      </c>
      <c r="G339" t="inlineStr">
        <is>
          <t>TANUM</t>
        </is>
      </c>
      <c r="I339" t="n">
        <v>3.5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s="2" t="inlineStr"/>
    </row>
    <row r="340" ht="15" customHeight="1">
      <c r="A340" t="inlineStr">
        <is>
          <t>A 16480-2023</t>
        </is>
      </c>
      <c r="B340" t="inlineStr">
        <is>
          <t>avverkningsanmälan</t>
        </is>
      </c>
      <c r="C340" t="inlineStr">
        <is>
          <t>Föryngringsavverkning</t>
        </is>
      </c>
      <c r="D340" s="1" t="n">
        <v>45026</v>
      </c>
      <c r="E340" s="1" t="n">
        <v>46312</v>
      </c>
      <c r="F340" t="inlineStr">
        <is>
          <t>VÄSTRA GÖTALANDS LÄN</t>
        </is>
      </c>
      <c r="G340" t="inlineStr">
        <is>
          <t>TANUM</t>
        </is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s="2" t="inlineStr"/>
    </row>
    <row r="341" ht="15" customHeight="1">
      <c r="A341" t="inlineStr">
        <is>
          <t>A 29694-2026</t>
        </is>
      </c>
      <c r="B341" t="inlineStr">
        <is>
          <t>avverkningsanmälan</t>
        </is>
      </c>
      <c r="C341" t="inlineStr">
        <is>
          <t>Föryngringsavverkning</t>
        </is>
      </c>
      <c r="D341" s="1" t="n">
        <v>46204</v>
      </c>
      <c r="E341" s="1" t="n">
        <v>46312</v>
      </c>
      <c r="F341" t="inlineStr">
        <is>
          <t>VÄSTRA GÖTALANDS LÄN</t>
        </is>
      </c>
      <c r="G341" t="inlineStr">
        <is>
          <t>TANUM</t>
        </is>
      </c>
      <c r="I341" t="n">
        <v>1.2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s="2" t="inlineStr"/>
    </row>
    <row r="342" ht="15" customHeight="1">
      <c r="A342" t="inlineStr">
        <is>
          <t>A 55831-2023</t>
        </is>
      </c>
      <c r="B342" t="inlineStr">
        <is>
          <t>avverkningsanmälan</t>
        </is>
      </c>
      <c r="C342" t="inlineStr">
        <is>
          <t>Föryngringsavverkning</t>
        </is>
      </c>
      <c r="D342" s="1" t="n">
        <v>45239</v>
      </c>
      <c r="E342" s="1" t="n">
        <v>46312</v>
      </c>
      <c r="F342" t="inlineStr">
        <is>
          <t>VÄSTRA GÖTALANDS LÄN</t>
        </is>
      </c>
      <c r="G342" t="inlineStr">
        <is>
          <t>TANUM</t>
        </is>
      </c>
      <c r="I342" t="n">
        <v>1.2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s="2" t="inlineStr"/>
    </row>
    <row r="343" ht="15" customHeight="1">
      <c r="A343" t="inlineStr">
        <is>
          <t>A 35599-2022</t>
        </is>
      </c>
      <c r="B343" t="inlineStr">
        <is>
          <t>avverkningsanmälan</t>
        </is>
      </c>
      <c r="C343" t="inlineStr">
        <is>
          <t>Föryngringsavverkning</t>
        </is>
      </c>
      <c r="D343" s="1" t="n">
        <v>44799</v>
      </c>
      <c r="E343" s="1" t="n">
        <v>46312</v>
      </c>
      <c r="F343" t="inlineStr">
        <is>
          <t>VÄSTRA GÖTALANDS LÄN</t>
        </is>
      </c>
      <c r="G343" t="inlineStr">
        <is>
          <t>TANUM</t>
        </is>
      </c>
      <c r="I343" t="n">
        <v>3.1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s="2" t="inlineStr"/>
    </row>
    <row r="344" ht="15" customHeight="1">
      <c r="A344" t="inlineStr">
        <is>
          <t>A 30046-2026</t>
        </is>
      </c>
      <c r="B344" t="inlineStr">
        <is>
          <t>avverkningsanmälan</t>
        </is>
      </c>
      <c r="C344" t="inlineStr">
        <is>
          <t>Föryngringsavverkning</t>
        </is>
      </c>
      <c r="D344" s="1" t="n">
        <v>46206</v>
      </c>
      <c r="E344" s="1" t="n">
        <v>46312</v>
      </c>
      <c r="F344" t="inlineStr">
        <is>
          <t>VÄSTRA GÖTALANDS LÄN</t>
        </is>
      </c>
      <c r="G344" t="inlineStr">
        <is>
          <t>TANUM</t>
        </is>
      </c>
      <c r="I344" t="n">
        <v>3.8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s="2" t="inlineStr"/>
    </row>
    <row r="345" ht="15" customHeight="1">
      <c r="A345" t="inlineStr">
        <is>
          <t>A 30036-2026</t>
        </is>
      </c>
      <c r="B345" t="inlineStr">
        <is>
          <t>avverkningsanmälan</t>
        </is>
      </c>
      <c r="C345" t="inlineStr">
        <is>
          <t>Föryngringsavverkning</t>
        </is>
      </c>
      <c r="D345" s="1" t="n">
        <v>46206</v>
      </c>
      <c r="E345" s="1" t="n">
        <v>46312</v>
      </c>
      <c r="F345" t="inlineStr">
        <is>
          <t>VÄSTRA GÖTALANDS LÄN</t>
        </is>
      </c>
      <c r="G345" t="inlineStr">
        <is>
          <t>TANUM</t>
        </is>
      </c>
      <c r="I345" t="n">
        <v>1.3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s="2" t="inlineStr"/>
    </row>
    <row r="346" ht="15" customHeight="1">
      <c r="A346" t="inlineStr">
        <is>
          <t>A 50049-2024</t>
        </is>
      </c>
      <c r="B346" t="inlineStr">
        <is>
          <t>avverkningsanmälan</t>
        </is>
      </c>
      <c r="C346" t="inlineStr">
        <is>
          <t>Föryngringsavverkning</t>
        </is>
      </c>
      <c r="D346" s="1" t="n">
        <v>45597</v>
      </c>
      <c r="E346" s="1" t="n">
        <v>46312</v>
      </c>
      <c r="F346" t="inlineStr">
        <is>
          <t>VÄSTRA GÖTALANDS LÄN</t>
        </is>
      </c>
      <c r="G346" t="inlineStr">
        <is>
          <t>TANUM</t>
        </is>
      </c>
      <c r="I346" t="n">
        <v>1.7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s="2" t="inlineStr"/>
    </row>
    <row r="347" ht="15" customHeight="1">
      <c r="A347" t="inlineStr">
        <is>
          <t>A 62516-2023</t>
        </is>
      </c>
      <c r="B347" t="inlineStr">
        <is>
          <t>avverkningsanmälan</t>
        </is>
      </c>
      <c r="C347" t="inlineStr">
        <is>
          <t>Föryngringsavverkning</t>
        </is>
      </c>
      <c r="D347" s="1" t="n">
        <v>45267</v>
      </c>
      <c r="E347" s="1" t="n">
        <v>46312</v>
      </c>
      <c r="F347" t="inlineStr">
        <is>
          <t>VÄSTRA GÖTALANDS LÄN</t>
        </is>
      </c>
      <c r="G347" t="inlineStr">
        <is>
          <t>TANUM</t>
        </is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s="2" t="inlineStr"/>
    </row>
    <row r="348" ht="15" customHeight="1">
      <c r="A348" t="inlineStr">
        <is>
          <t>A 15353-2024</t>
        </is>
      </c>
      <c r="B348" t="inlineStr">
        <is>
          <t>avverkningsanmälan</t>
        </is>
      </c>
      <c r="C348" t="inlineStr">
        <is>
          <t>Föryngringsavverkning</t>
        </is>
      </c>
      <c r="D348" s="1" t="n">
        <v>45400</v>
      </c>
      <c r="E348" s="1" t="n">
        <v>46312</v>
      </c>
      <c r="F348" t="inlineStr">
        <is>
          <t>VÄSTRA GÖTALANDS LÄN</t>
        </is>
      </c>
      <c r="G348" t="inlineStr">
        <is>
          <t>TANUM</t>
        </is>
      </c>
      <c r="I348" t="n">
        <v>6.5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s="2" t="inlineStr"/>
    </row>
    <row r="349" ht="15" customHeight="1">
      <c r="A349" t="inlineStr">
        <is>
          <t>A 10896-2025</t>
        </is>
      </c>
      <c r="B349" t="inlineStr">
        <is>
          <t>avverkningsanmälan</t>
        </is>
      </c>
      <c r="C349" t="inlineStr">
        <is>
          <t>Föryngringsavverkning</t>
        </is>
      </c>
      <c r="D349" s="1" t="n">
        <v>45722</v>
      </c>
      <c r="E349" s="1" t="n">
        <v>46312</v>
      </c>
      <c r="F349" t="inlineStr">
        <is>
          <t>VÄSTRA GÖTALANDS LÄN</t>
        </is>
      </c>
      <c r="G349" t="inlineStr">
        <is>
          <t>TANUM</t>
        </is>
      </c>
      <c r="I349" t="n">
        <v>2.3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s="2" t="inlineStr"/>
    </row>
    <row r="350" ht="15" customHeight="1">
      <c r="A350" t="inlineStr">
        <is>
          <t>A 51812-2022</t>
        </is>
      </c>
      <c r="B350" t="inlineStr">
        <is>
          <t>avverkningsanmälan</t>
        </is>
      </c>
      <c r="C350" t="inlineStr">
        <is>
          <t>Föryngringsavverkning</t>
        </is>
      </c>
      <c r="D350" s="1" t="n">
        <v>44872</v>
      </c>
      <c r="E350" s="1" t="n">
        <v>46312</v>
      </c>
      <c r="F350" t="inlineStr">
        <is>
          <t>VÄSTRA GÖTALANDS LÄN</t>
        </is>
      </c>
      <c r="G350" t="inlineStr">
        <is>
          <t>TANUM</t>
        </is>
      </c>
      <c r="I350" t="n">
        <v>6.6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s="2" t="inlineStr"/>
    </row>
    <row r="351" ht="15" customHeight="1">
      <c r="A351" t="inlineStr">
        <is>
          <t>A 23173-2023</t>
        </is>
      </c>
      <c r="B351" t="inlineStr">
        <is>
          <t>avverkningsanmälan</t>
        </is>
      </c>
      <c r="C351" t="inlineStr">
        <is>
          <t>Föryngringsavverkning</t>
        </is>
      </c>
      <c r="D351" s="1" t="n">
        <v>45075</v>
      </c>
      <c r="E351" s="1" t="n">
        <v>46312</v>
      </c>
      <c r="F351" t="inlineStr">
        <is>
          <t>VÄSTRA GÖTALANDS LÄN</t>
        </is>
      </c>
      <c r="G351" t="inlineStr">
        <is>
          <t>TANUM</t>
        </is>
      </c>
      <c r="I351" t="n">
        <v>1.8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s="2" t="inlineStr"/>
    </row>
    <row r="352" ht="15" customHeight="1">
      <c r="A352" t="inlineStr">
        <is>
          <t>A 42756-2022</t>
        </is>
      </c>
      <c r="B352" t="inlineStr">
        <is>
          <t>avverkningsanmälan</t>
        </is>
      </c>
      <c r="C352" t="inlineStr">
        <is>
          <t>Föryngringsavverkning</t>
        </is>
      </c>
      <c r="D352" s="1" t="n">
        <v>44832</v>
      </c>
      <c r="E352" s="1" t="n">
        <v>46312</v>
      </c>
      <c r="F352" t="inlineStr">
        <is>
          <t>VÄSTRA GÖTALANDS LÄN</t>
        </is>
      </c>
      <c r="G352" t="inlineStr">
        <is>
          <t>TANUM</t>
        </is>
      </c>
      <c r="I352" t="n">
        <v>4.1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s="2" t="inlineStr"/>
    </row>
    <row r="353" ht="15" customHeight="1">
      <c r="A353" t="inlineStr">
        <is>
          <t>A 60768-2023</t>
        </is>
      </c>
      <c r="B353" t="inlineStr">
        <is>
          <t>avverkningsanmälan</t>
        </is>
      </c>
      <c r="C353" t="inlineStr">
        <is>
          <t>Föryngringsavverkning</t>
        </is>
      </c>
      <c r="D353" s="1" t="n">
        <v>45260</v>
      </c>
      <c r="E353" s="1" t="n">
        <v>46312</v>
      </c>
      <c r="F353" t="inlineStr">
        <is>
          <t>VÄSTRA GÖTALANDS LÄN</t>
        </is>
      </c>
      <c r="G353" t="inlineStr">
        <is>
          <t>TANUM</t>
        </is>
      </c>
      <c r="I353" t="n">
        <v>0.9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s="2" t="inlineStr"/>
    </row>
    <row r="354" ht="15" customHeight="1">
      <c r="A354" t="inlineStr">
        <is>
          <t>A 30395-2026</t>
        </is>
      </c>
      <c r="B354" t="inlineStr">
        <is>
          <t>avverkningsanmälan</t>
        </is>
      </c>
      <c r="C354" t="inlineStr">
        <is>
          <t>Föryngringsavverkning</t>
        </is>
      </c>
      <c r="D354" s="1" t="n">
        <v>46209</v>
      </c>
      <c r="E354" s="1" t="n">
        <v>46312</v>
      </c>
      <c r="F354" t="inlineStr">
        <is>
          <t>VÄSTRA GÖTALANDS LÄN</t>
        </is>
      </c>
      <c r="G354" t="inlineStr">
        <is>
          <t>TANUM</t>
        </is>
      </c>
      <c r="I354" t="n">
        <v>3.1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s="2" t="inlineStr"/>
    </row>
    <row r="355" ht="15" customHeight="1">
      <c r="A355" t="inlineStr">
        <is>
          <t>A 12854-2024</t>
        </is>
      </c>
      <c r="B355" t="inlineStr">
        <is>
          <t>avverkningsanmälan</t>
        </is>
      </c>
      <c r="C355" t="inlineStr">
        <is>
          <t>Föryngringsavverkning</t>
        </is>
      </c>
      <c r="D355" s="1" t="n">
        <v>45384</v>
      </c>
      <c r="E355" s="1" t="n">
        <v>46312</v>
      </c>
      <c r="F355" t="inlineStr">
        <is>
          <t>VÄSTRA GÖTALANDS LÄN</t>
        </is>
      </c>
      <c r="G355" t="inlineStr">
        <is>
          <t>TANUM</t>
        </is>
      </c>
      <c r="I355" t="n">
        <v>5.7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s="2" t="inlineStr"/>
    </row>
    <row r="356" ht="15" customHeight="1">
      <c r="A356" t="inlineStr">
        <is>
          <t>A 62931-2023</t>
        </is>
      </c>
      <c r="B356" t="inlineStr">
        <is>
          <t>avverkningsanmälan</t>
        </is>
      </c>
      <c r="C356" t="inlineStr">
        <is>
          <t>Föryngringsavverkning</t>
        </is>
      </c>
      <c r="D356" s="1" t="n">
        <v>45272</v>
      </c>
      <c r="E356" s="1" t="n">
        <v>46312</v>
      </c>
      <c r="F356" t="inlineStr">
        <is>
          <t>VÄSTRA GÖTALANDS LÄN</t>
        </is>
      </c>
      <c r="G356" t="inlineStr">
        <is>
          <t>TANUM</t>
        </is>
      </c>
      <c r="I356" t="n">
        <v>1.1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s="2" t="inlineStr"/>
    </row>
    <row r="357" ht="15" customHeight="1">
      <c r="A357" t="inlineStr">
        <is>
          <t>A 6630-2022</t>
        </is>
      </c>
      <c r="B357" t="inlineStr">
        <is>
          <t>avverkningsanmälan</t>
        </is>
      </c>
      <c r="C357" t="inlineStr">
        <is>
          <t>Föryngringsavverkning</t>
        </is>
      </c>
      <c r="D357" s="1" t="n">
        <v>44601</v>
      </c>
      <c r="E357" s="1" t="n">
        <v>46312</v>
      </c>
      <c r="F357" t="inlineStr">
        <is>
          <t>VÄSTRA GÖTALANDS LÄN</t>
        </is>
      </c>
      <c r="G357" t="inlineStr">
        <is>
          <t>TANUM</t>
        </is>
      </c>
      <c r="I357" t="n">
        <v>2.5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s="2" t="inlineStr"/>
    </row>
    <row r="358" ht="15" customHeight="1">
      <c r="A358" t="inlineStr">
        <is>
          <t>A 44966-2024</t>
        </is>
      </c>
      <c r="B358" t="inlineStr">
        <is>
          <t>avverkningsanmälan</t>
        </is>
      </c>
      <c r="C358" t="inlineStr">
        <is>
          <t>Föryngringsavverkning</t>
        </is>
      </c>
      <c r="D358" s="1" t="n">
        <v>45575</v>
      </c>
      <c r="E358" s="1" t="n">
        <v>46312</v>
      </c>
      <c r="F358" t="inlineStr">
        <is>
          <t>VÄSTRA GÖTALANDS LÄN</t>
        </is>
      </c>
      <c r="G358" t="inlineStr">
        <is>
          <t>TANUM</t>
        </is>
      </c>
      <c r="H358" t="inlineStr">
        <is>
          <t>Naturvårdsverket</t>
        </is>
      </c>
      <c r="I358" t="n">
        <v>5.9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s="2" t="inlineStr"/>
    </row>
    <row r="359" ht="15" customHeight="1">
      <c r="A359" t="inlineStr">
        <is>
          <t>A 4584-2022</t>
        </is>
      </c>
      <c r="B359" t="inlineStr">
        <is>
          <t>avverkningsanmälan</t>
        </is>
      </c>
      <c r="C359" t="inlineStr">
        <is>
          <t>Föryngringsavverkning</t>
        </is>
      </c>
      <c r="D359" s="1" t="n">
        <v>44591</v>
      </c>
      <c r="E359" s="1" t="n">
        <v>46312</v>
      </c>
      <c r="F359" t="inlineStr">
        <is>
          <t>VÄSTRA GÖTALANDS LÄN</t>
        </is>
      </c>
      <c r="G359" t="inlineStr">
        <is>
          <t>TANUM</t>
        </is>
      </c>
      <c r="I359" t="n">
        <v>2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s="2" t="inlineStr"/>
    </row>
    <row r="360" ht="15" customHeight="1">
      <c r="A360" t="inlineStr">
        <is>
          <t>A 31918-2026</t>
        </is>
      </c>
      <c r="B360" t="inlineStr">
        <is>
          <t>avverkningsanmälan</t>
        </is>
      </c>
      <c r="C360" t="inlineStr">
        <is>
          <t>Föryngringsavverkning</t>
        </is>
      </c>
      <c r="D360" s="1" t="n">
        <v>46231</v>
      </c>
      <c r="E360" s="1" t="n">
        <v>46312</v>
      </c>
      <c r="F360" t="inlineStr">
        <is>
          <t>VÄSTRA GÖTALANDS LÄN</t>
        </is>
      </c>
      <c r="G360" t="inlineStr">
        <is>
          <t>TANUM</t>
        </is>
      </c>
      <c r="I360" t="n">
        <v>1.7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s="2" t="inlineStr"/>
    </row>
    <row r="361" ht="15" customHeight="1">
      <c r="A361" t="inlineStr">
        <is>
          <t>A 31968-2026</t>
        </is>
      </c>
      <c r="B361" t="inlineStr">
        <is>
          <t>avverkningsanmälan</t>
        </is>
      </c>
      <c r="C361" t="inlineStr">
        <is>
          <t>Avverkning för annat ändamål</t>
        </is>
      </c>
      <c r="D361" s="1" t="n">
        <v>46231</v>
      </c>
      <c r="E361" s="1" t="n">
        <v>46312</v>
      </c>
      <c r="F361" t="inlineStr">
        <is>
          <t>VÄSTRA GÖTALANDS LÄN</t>
        </is>
      </c>
      <c r="G361" t="inlineStr">
        <is>
          <t>TANUM</t>
        </is>
      </c>
      <c r="I361" t="n">
        <v>1.5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s="2" t="inlineStr"/>
    </row>
    <row r="362" ht="15" customHeight="1">
      <c r="A362" t="inlineStr">
        <is>
          <t>A 2095-2024</t>
        </is>
      </c>
      <c r="B362" t="inlineStr">
        <is>
          <t>avverkningsanmälan</t>
        </is>
      </c>
      <c r="C362" t="inlineStr">
        <is>
          <t>Föryngringsavverkning</t>
        </is>
      </c>
      <c r="D362" s="1" t="n">
        <v>45309</v>
      </c>
      <c r="E362" s="1" t="n">
        <v>46312</v>
      </c>
      <c r="F362" t="inlineStr">
        <is>
          <t>VÄSTRA GÖTALANDS LÄN</t>
        </is>
      </c>
      <c r="G362" t="inlineStr">
        <is>
          <t>TANUM</t>
        </is>
      </c>
      <c r="I362" t="n">
        <v>2.6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s="2" t="inlineStr"/>
    </row>
    <row r="363" ht="15" customHeight="1">
      <c r="A363" t="inlineStr">
        <is>
          <t>A 37021-2026</t>
        </is>
      </c>
      <c r="B363" t="inlineStr">
        <is>
          <t>avverkningsanmälan</t>
        </is>
      </c>
      <c r="C363" t="inlineStr">
        <is>
          <t>Föryngringsavverkning</t>
        </is>
      </c>
      <c r="D363" s="1" t="n">
        <v>46273</v>
      </c>
      <c r="E363" s="1" t="n">
        <v>46312</v>
      </c>
      <c r="F363" t="inlineStr">
        <is>
          <t>VÄSTRA GÖTALANDS LÄN</t>
        </is>
      </c>
      <c r="G363" t="inlineStr">
        <is>
          <t>TANUM</t>
        </is>
      </c>
      <c r="I363" t="n">
        <v>3.8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s="2" t="inlineStr"/>
    </row>
    <row r="364" ht="15" customHeight="1">
      <c r="A364" t="inlineStr">
        <is>
          <t>A 36776-2026</t>
        </is>
      </c>
      <c r="B364" t="inlineStr">
        <is>
          <t>avverkningsanmälan</t>
        </is>
      </c>
      <c r="C364" t="inlineStr">
        <is>
          <t>Föryngringsavverkning</t>
        </is>
      </c>
      <c r="D364" s="1" t="n">
        <v>46272</v>
      </c>
      <c r="E364" s="1" t="n">
        <v>46312</v>
      </c>
      <c r="F364" t="inlineStr">
        <is>
          <t>VÄSTRA GÖTALANDS LÄN</t>
        </is>
      </c>
      <c r="G364" t="inlineStr">
        <is>
          <t>TANUM</t>
        </is>
      </c>
      <c r="I364" t="n">
        <v>1.5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s="2" t="inlineStr"/>
    </row>
    <row r="365" ht="15" customHeight="1">
      <c r="A365" t="inlineStr">
        <is>
          <t>A 36766-2026</t>
        </is>
      </c>
      <c r="B365" t="inlineStr">
        <is>
          <t>avverkningsanmälan</t>
        </is>
      </c>
      <c r="C365" t="inlineStr">
        <is>
          <t>Föryngringsavverkning</t>
        </is>
      </c>
      <c r="D365" s="1" t="n">
        <v>46272</v>
      </c>
      <c r="E365" s="1" t="n">
        <v>46312</v>
      </c>
      <c r="F365" t="inlineStr">
        <is>
          <t>VÄSTRA GÖTALANDS LÄN</t>
        </is>
      </c>
      <c r="G365" t="inlineStr">
        <is>
          <t>TANUM</t>
        </is>
      </c>
      <c r="I365" t="n">
        <v>6.4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s="2" t="inlineStr"/>
    </row>
    <row r="366" ht="15" customHeight="1">
      <c r="A366" t="inlineStr">
        <is>
          <t>A 36762-2026</t>
        </is>
      </c>
      <c r="B366" t="inlineStr">
        <is>
          <t>avverkningsanmälan</t>
        </is>
      </c>
      <c r="C366" t="inlineStr">
        <is>
          <t>Föryngringsavverkning</t>
        </is>
      </c>
      <c r="D366" s="1" t="n">
        <v>46272</v>
      </c>
      <c r="E366" s="1" t="n">
        <v>46312</v>
      </c>
      <c r="F366" t="inlineStr">
        <is>
          <t>VÄSTRA GÖTALANDS LÄN</t>
        </is>
      </c>
      <c r="G366" t="inlineStr">
        <is>
          <t>TANUM</t>
        </is>
      </c>
      <c r="I366" t="n">
        <v>4.5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s="2" t="inlineStr"/>
    </row>
    <row r="367" ht="15" customHeight="1">
      <c r="A367" t="inlineStr">
        <is>
          <t>A 37017-2026</t>
        </is>
      </c>
      <c r="B367" t="inlineStr">
        <is>
          <t>avverkningsanmälan</t>
        </is>
      </c>
      <c r="C367" t="inlineStr">
        <is>
          <t>Föryngringsavverkning</t>
        </is>
      </c>
      <c r="D367" s="1" t="n">
        <v>46273</v>
      </c>
      <c r="E367" s="1" t="n">
        <v>46312</v>
      </c>
      <c r="F367" t="inlineStr">
        <is>
          <t>VÄSTRA GÖTALANDS LÄN</t>
        </is>
      </c>
      <c r="G367" t="inlineStr">
        <is>
          <t>TANUM</t>
        </is>
      </c>
      <c r="I367" t="n">
        <v>1.1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s="2" t="inlineStr"/>
    </row>
    <row r="368" ht="15" customHeight="1">
      <c r="A368" t="inlineStr">
        <is>
          <t>A 16400-2023</t>
        </is>
      </c>
      <c r="B368" t="inlineStr">
        <is>
          <t>avverkningsanmälan</t>
        </is>
      </c>
      <c r="C368" t="inlineStr">
        <is>
          <t>Föryngringsavverkning</t>
        </is>
      </c>
      <c r="D368" s="1" t="n">
        <v>45029</v>
      </c>
      <c r="E368" s="1" t="n">
        <v>46312</v>
      </c>
      <c r="F368" t="inlineStr">
        <is>
          <t>VÄSTRA GÖTALANDS LÄN</t>
        </is>
      </c>
      <c r="G368" t="inlineStr">
        <is>
          <t>TANUM</t>
        </is>
      </c>
      <c r="I368" t="n">
        <v>2.4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s="2" t="inlineStr"/>
    </row>
    <row r="369" ht="15" customHeight="1">
      <c r="A369" t="inlineStr">
        <is>
          <t>A 60351-2023</t>
        </is>
      </c>
      <c r="B369" t="inlineStr">
        <is>
          <t>avverkningsanmälan</t>
        </is>
      </c>
      <c r="C369" t="inlineStr">
        <is>
          <t>Föryngringsavverkning</t>
        </is>
      </c>
      <c r="D369" s="1" t="n">
        <v>45259</v>
      </c>
      <c r="E369" s="1" t="n">
        <v>46312</v>
      </c>
      <c r="F369" t="inlineStr">
        <is>
          <t>VÄSTRA GÖTALANDS LÄN</t>
        </is>
      </c>
      <c r="G369" t="inlineStr">
        <is>
          <t>TANUM</t>
        </is>
      </c>
      <c r="I369" t="n">
        <v>1.1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s="2" t="inlineStr"/>
    </row>
    <row r="370" ht="15" customHeight="1">
      <c r="A370" t="inlineStr">
        <is>
          <t>A 63834-2023</t>
        </is>
      </c>
      <c r="B370" t="inlineStr">
        <is>
          <t>avverkningsanmälan</t>
        </is>
      </c>
      <c r="C370" t="inlineStr">
        <is>
          <t>Föryngringsavverkning</t>
        </is>
      </c>
      <c r="D370" s="1" t="n">
        <v>45278</v>
      </c>
      <c r="E370" s="1" t="n">
        <v>46312</v>
      </c>
      <c r="F370" t="inlineStr">
        <is>
          <t>VÄSTRA GÖTALANDS LÄN</t>
        </is>
      </c>
      <c r="G370" t="inlineStr">
        <is>
          <t>TANUM</t>
        </is>
      </c>
      <c r="I370" t="n">
        <v>5.3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s="2" t="inlineStr"/>
    </row>
    <row r="371" ht="15" customHeight="1">
      <c r="A371" t="inlineStr">
        <is>
          <t>A 57029-2024</t>
        </is>
      </c>
      <c r="B371" t="inlineStr">
        <is>
          <t>avverkningsanmälan</t>
        </is>
      </c>
      <c r="C371" t="inlineStr">
        <is>
          <t>Föryngringsavverkning</t>
        </is>
      </c>
      <c r="D371" s="1" t="n">
        <v>45628</v>
      </c>
      <c r="E371" s="1" t="n">
        <v>46312</v>
      </c>
      <c r="F371" t="inlineStr">
        <is>
          <t>VÄSTRA GÖTALANDS LÄN</t>
        </is>
      </c>
      <c r="G371" t="inlineStr">
        <is>
          <t>TANUM</t>
        </is>
      </c>
      <c r="I371" t="n">
        <v>0.5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s="2" t="inlineStr"/>
    </row>
    <row r="372" ht="15" customHeight="1">
      <c r="A372" t="inlineStr">
        <is>
          <t>A 37605-2026</t>
        </is>
      </c>
      <c r="B372" t="inlineStr">
        <is>
          <t>avverkningsanmälan</t>
        </is>
      </c>
      <c r="C372" t="inlineStr">
        <is>
          <t>Föryngringsavverkning</t>
        </is>
      </c>
      <c r="D372" s="1" t="n">
        <v>46276</v>
      </c>
      <c r="E372" s="1" t="n">
        <v>46312</v>
      </c>
      <c r="F372" t="inlineStr">
        <is>
          <t>VÄSTRA GÖTALANDS LÄN</t>
        </is>
      </c>
      <c r="G372" t="inlineStr">
        <is>
          <t>TANUM</t>
        </is>
      </c>
      <c r="I372" t="n">
        <v>2.5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s="2" t="inlineStr"/>
    </row>
    <row r="373" ht="15" customHeight="1">
      <c r="A373" t="inlineStr">
        <is>
          <t>A 178-2025</t>
        </is>
      </c>
      <c r="B373" t="inlineStr">
        <is>
          <t>avverkningsanmälan</t>
        </is>
      </c>
      <c r="C373" t="inlineStr">
        <is>
          <t>Föryngringsavverkning</t>
        </is>
      </c>
      <c r="D373" s="1" t="n">
        <v>45659</v>
      </c>
      <c r="E373" s="1" t="n">
        <v>46312</v>
      </c>
      <c r="F373" t="inlineStr">
        <is>
          <t>VÄSTRA GÖTALANDS LÄN</t>
        </is>
      </c>
      <c r="G373" t="inlineStr">
        <is>
          <t>TANUM</t>
        </is>
      </c>
      <c r="I373" t="n">
        <v>6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s="2" t="inlineStr"/>
    </row>
    <row r="374" ht="15" customHeight="1">
      <c r="A374" t="inlineStr">
        <is>
          <t>A 39184-2022</t>
        </is>
      </c>
      <c r="B374" t="inlineStr">
        <is>
          <t>avverkningsanmälan</t>
        </is>
      </c>
      <c r="C374" t="inlineStr">
        <is>
          <t>Föryngringsavverkning</t>
        </is>
      </c>
      <c r="D374" s="1" t="n">
        <v>44817</v>
      </c>
      <c r="E374" s="1" t="n">
        <v>46312</v>
      </c>
      <c r="F374" t="inlineStr">
        <is>
          <t>VÄSTRA GÖTALANDS LÄN</t>
        </is>
      </c>
      <c r="G374" t="inlineStr">
        <is>
          <t>TANUM</t>
        </is>
      </c>
      <c r="I374" t="n">
        <v>1.4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s="2" t="inlineStr"/>
    </row>
    <row r="375" ht="15" customHeight="1">
      <c r="A375" t="inlineStr">
        <is>
          <t>A 37608-2026</t>
        </is>
      </c>
      <c r="B375" t="inlineStr">
        <is>
          <t>avverkningsanmälan</t>
        </is>
      </c>
      <c r="C375" t="inlineStr">
        <is>
          <t>Föryngringsavverkning</t>
        </is>
      </c>
      <c r="D375" s="1" t="n">
        <v>46276</v>
      </c>
      <c r="E375" s="1" t="n">
        <v>46312</v>
      </c>
      <c r="F375" t="inlineStr">
        <is>
          <t>VÄSTRA GÖTALANDS LÄN</t>
        </is>
      </c>
      <c r="G375" t="inlineStr">
        <is>
          <t>TANUM</t>
        </is>
      </c>
      <c r="I375" t="n">
        <v>0.7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s="2" t="inlineStr"/>
    </row>
    <row r="376" ht="15" customHeight="1">
      <c r="A376" t="inlineStr">
        <is>
          <t>A 62676-2023</t>
        </is>
      </c>
      <c r="B376" t="inlineStr">
        <is>
          <t>avverkningsanmälan</t>
        </is>
      </c>
      <c r="C376" t="inlineStr">
        <is>
          <t>Föryngringsavverkning</t>
        </is>
      </c>
      <c r="D376" s="1" t="n">
        <v>45271</v>
      </c>
      <c r="E376" s="1" t="n">
        <v>46312</v>
      </c>
      <c r="F376" t="inlineStr">
        <is>
          <t>VÄSTRA GÖTALANDS LÄN</t>
        </is>
      </c>
      <c r="G376" t="inlineStr">
        <is>
          <t>TANUM</t>
        </is>
      </c>
      <c r="I376" t="n">
        <v>4.9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s="2" t="inlineStr"/>
    </row>
    <row r="377" ht="15" customHeight="1">
      <c r="A377" t="inlineStr">
        <is>
          <t>A 56379-2022</t>
        </is>
      </c>
      <c r="B377" t="inlineStr">
        <is>
          <t>avverkningsanmälan</t>
        </is>
      </c>
      <c r="C377" t="inlineStr">
        <is>
          <t>Föryngringsavverkning</t>
        </is>
      </c>
      <c r="D377" s="1" t="n">
        <v>44890</v>
      </c>
      <c r="E377" s="1" t="n">
        <v>46312</v>
      </c>
      <c r="F377" t="inlineStr">
        <is>
          <t>VÄSTRA GÖTALANDS LÄN</t>
        </is>
      </c>
      <c r="G377" t="inlineStr">
        <is>
          <t>TANUM</t>
        </is>
      </c>
      <c r="I377" t="n">
        <v>4.4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s="2" t="inlineStr"/>
    </row>
    <row r="378" ht="15" customHeight="1">
      <c r="A378" t="inlineStr">
        <is>
          <t>A 14269-2022</t>
        </is>
      </c>
      <c r="B378" t="inlineStr">
        <is>
          <t>avverkningsanmälan</t>
        </is>
      </c>
      <c r="C378" t="inlineStr">
        <is>
          <t>Föryngringsavverkning</t>
        </is>
      </c>
      <c r="D378" s="1" t="n">
        <v>44651</v>
      </c>
      <c r="E378" s="1" t="n">
        <v>46312</v>
      </c>
      <c r="F378" t="inlineStr">
        <is>
          <t>VÄSTRA GÖTALANDS LÄN</t>
        </is>
      </c>
      <c r="G378" t="inlineStr">
        <is>
          <t>TANUM</t>
        </is>
      </c>
      <c r="I378" t="n">
        <v>1.8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s="2" t="inlineStr"/>
    </row>
    <row r="379" ht="15" customHeight="1">
      <c r="A379" t="inlineStr">
        <is>
          <t>A 17680-2023</t>
        </is>
      </c>
      <c r="B379" t="inlineStr">
        <is>
          <t>avverkningsanmälan</t>
        </is>
      </c>
      <c r="C379" t="inlineStr">
        <is>
          <t>Föryngringsavverkning</t>
        </is>
      </c>
      <c r="D379" s="1" t="n">
        <v>45035</v>
      </c>
      <c r="E379" s="1" t="n">
        <v>46312</v>
      </c>
      <c r="F379" t="inlineStr">
        <is>
          <t>VÄSTRA GÖTALANDS LÄN</t>
        </is>
      </c>
      <c r="G379" t="inlineStr">
        <is>
          <t>TANUM</t>
        </is>
      </c>
      <c r="H379" t="inlineStr">
        <is>
          <t>Kyrkan</t>
        </is>
      </c>
      <c r="I379" t="n">
        <v>6.2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s="2" t="inlineStr"/>
    </row>
    <row r="380" ht="15" customHeight="1">
      <c r="A380" t="inlineStr">
        <is>
          <t>A 49687-2024</t>
        </is>
      </c>
      <c r="B380" t="inlineStr">
        <is>
          <t>avverkningsanmälan</t>
        </is>
      </c>
      <c r="C380" t="inlineStr">
        <is>
          <t>Avverkning för att bevara och utveckla /försöksver</t>
        </is>
      </c>
      <c r="D380" s="1" t="n">
        <v>45596</v>
      </c>
      <c r="E380" s="1" t="n">
        <v>46312</v>
      </c>
      <c r="F380" t="inlineStr">
        <is>
          <t>VÄSTRA GÖTALANDS LÄN</t>
        </is>
      </c>
      <c r="G380" t="inlineStr">
        <is>
          <t>TANUM</t>
        </is>
      </c>
      <c r="I380" t="n">
        <v>2.2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s="2" t="inlineStr"/>
    </row>
    <row r="381" ht="15" customHeight="1">
      <c r="A381" t="inlineStr">
        <is>
          <t>A 25441-2024</t>
        </is>
      </c>
      <c r="B381" t="inlineStr">
        <is>
          <t>avverkningsanmälan</t>
        </is>
      </c>
      <c r="C381" t="inlineStr">
        <is>
          <t>Föryngringsavverkning</t>
        </is>
      </c>
      <c r="D381" s="1" t="n">
        <v>45463</v>
      </c>
      <c r="E381" s="1" t="n">
        <v>46312</v>
      </c>
      <c r="F381" t="inlineStr">
        <is>
          <t>VÄSTRA GÖTALANDS LÄN</t>
        </is>
      </c>
      <c r="G381" t="inlineStr">
        <is>
          <t>TANUM</t>
        </is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s="2" t="inlineStr"/>
    </row>
    <row r="382" ht="15" customHeight="1">
      <c r="A382" t="inlineStr">
        <is>
          <t>A 23122-2024</t>
        </is>
      </c>
      <c r="B382" t="inlineStr">
        <is>
          <t>avverkningsanmälan</t>
        </is>
      </c>
      <c r="C382" t="inlineStr">
        <is>
          <t>Föryngringsavverkning</t>
        </is>
      </c>
      <c r="D382" s="1" t="n">
        <v>45450</v>
      </c>
      <c r="E382" s="1" t="n">
        <v>46312</v>
      </c>
      <c r="F382" t="inlineStr">
        <is>
          <t>VÄSTRA GÖTALANDS LÄN</t>
        </is>
      </c>
      <c r="G382" t="inlineStr">
        <is>
          <t>TANUM</t>
        </is>
      </c>
      <c r="I382" t="n">
        <v>2.1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s="2" t="inlineStr"/>
    </row>
    <row r="383" ht="15" customHeight="1">
      <c r="A383" t="inlineStr">
        <is>
          <t>A 32617-2026</t>
        </is>
      </c>
      <c r="B383" t="inlineStr">
        <is>
          <t>avverkningsanmälan</t>
        </is>
      </c>
      <c r="C383" t="inlineStr">
        <is>
          <t>Föryngringsavverkning</t>
        </is>
      </c>
      <c r="D383" s="1" t="n">
        <v>46240</v>
      </c>
      <c r="E383" s="1" t="n">
        <v>46312</v>
      </c>
      <c r="F383" t="inlineStr">
        <is>
          <t>VÄSTRA GÖTALANDS LÄN</t>
        </is>
      </c>
      <c r="G383" t="inlineStr">
        <is>
          <t>TANUM</t>
        </is>
      </c>
      <c r="I383" t="n">
        <v>1.3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s="2" t="inlineStr"/>
    </row>
    <row r="384" ht="15" customHeight="1">
      <c r="A384" t="inlineStr">
        <is>
          <t>A 44889-2022</t>
        </is>
      </c>
      <c r="B384" t="inlineStr">
        <is>
          <t>avverkningsanmälan</t>
        </is>
      </c>
      <c r="C384" t="inlineStr">
        <is>
          <t>Föryngringsavverkning</t>
        </is>
      </c>
      <c r="D384" s="1" t="n">
        <v>44841</v>
      </c>
      <c r="E384" s="1" t="n">
        <v>46312</v>
      </c>
      <c r="F384" t="inlineStr">
        <is>
          <t>VÄSTRA GÖTALANDS LÄN</t>
        </is>
      </c>
      <c r="G384" t="inlineStr">
        <is>
          <t>TANUM</t>
        </is>
      </c>
      <c r="I384" t="n">
        <v>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s="2" t="inlineStr"/>
    </row>
    <row r="385" ht="15" customHeight="1">
      <c r="A385" t="inlineStr">
        <is>
          <t>A 32744-2026</t>
        </is>
      </c>
      <c r="B385" t="inlineStr">
        <is>
          <t>avverkningsanmälan</t>
        </is>
      </c>
      <c r="C385" t="inlineStr">
        <is>
          <t>Föryngringsavverkning</t>
        </is>
      </c>
      <c r="D385" s="1" t="n">
        <v>46241</v>
      </c>
      <c r="E385" s="1" t="n">
        <v>46312</v>
      </c>
      <c r="F385" t="inlineStr">
        <is>
          <t>VÄSTRA GÖTALANDS LÄN</t>
        </is>
      </c>
      <c r="G385" t="inlineStr">
        <is>
          <t>TANUM</t>
        </is>
      </c>
      <c r="I385" t="n">
        <v>1.4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s="2" t="inlineStr"/>
    </row>
    <row r="386" ht="15" customHeight="1">
      <c r="A386" t="inlineStr">
        <is>
          <t>A 36949-2024</t>
        </is>
      </c>
      <c r="B386" t="inlineStr">
        <is>
          <t>avverkningsanmälan</t>
        </is>
      </c>
      <c r="C386" t="inlineStr">
        <is>
          <t>Föryngringsavverkning</t>
        </is>
      </c>
      <c r="D386" s="1" t="n">
        <v>45538</v>
      </c>
      <c r="E386" s="1" t="n">
        <v>46312</v>
      </c>
      <c r="F386" t="inlineStr">
        <is>
          <t>VÄSTRA GÖTALANDS LÄN</t>
        </is>
      </c>
      <c r="G386" t="inlineStr">
        <is>
          <t>TANUM</t>
        </is>
      </c>
      <c r="I386" t="n">
        <v>4.8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s="2" t="inlineStr"/>
    </row>
    <row r="387" ht="15" customHeight="1">
      <c r="A387" t="inlineStr">
        <is>
          <t>A 53838-2023</t>
        </is>
      </c>
      <c r="B387" t="inlineStr">
        <is>
          <t>avverkningsanmälan</t>
        </is>
      </c>
      <c r="C387" t="inlineStr">
        <is>
          <t>Föryngringsavverkning</t>
        </is>
      </c>
      <c r="D387" s="1" t="n">
        <v>45231</v>
      </c>
      <c r="E387" s="1" t="n">
        <v>46312</v>
      </c>
      <c r="F387" t="inlineStr">
        <is>
          <t>VÄSTRA GÖTALANDS LÄN</t>
        </is>
      </c>
      <c r="G387" t="inlineStr">
        <is>
          <t>TANUM</t>
        </is>
      </c>
      <c r="I387" t="n">
        <v>2.1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s="2" t="inlineStr"/>
    </row>
    <row r="388" ht="15" customHeight="1">
      <c r="A388" t="inlineStr">
        <is>
          <t>A 14004-2024</t>
        </is>
      </c>
      <c r="B388" t="inlineStr">
        <is>
          <t>avverkningsanmälan</t>
        </is>
      </c>
      <c r="C388" t="inlineStr">
        <is>
          <t>Föryngringsavverkning</t>
        </is>
      </c>
      <c r="D388" s="1" t="n">
        <v>45392</v>
      </c>
      <c r="E388" s="1" t="n">
        <v>46312</v>
      </c>
      <c r="F388" t="inlineStr">
        <is>
          <t>VÄSTRA GÖTALANDS LÄN</t>
        </is>
      </c>
      <c r="G388" t="inlineStr">
        <is>
          <t>TANUM</t>
        </is>
      </c>
      <c r="I388" t="n">
        <v>2.3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s="2" t="inlineStr"/>
    </row>
    <row r="389" ht="15" customHeight="1">
      <c r="A389" t="inlineStr">
        <is>
          <t>A 36922-2026</t>
        </is>
      </c>
      <c r="B389" t="inlineStr">
        <is>
          <t>avverkningsanmälan</t>
        </is>
      </c>
      <c r="C389" t="inlineStr">
        <is>
          <t>Föryngringsavverkning</t>
        </is>
      </c>
      <c r="D389" s="1" t="n">
        <v>46273</v>
      </c>
      <c r="E389" s="1" t="n">
        <v>46312</v>
      </c>
      <c r="F389" t="inlineStr">
        <is>
          <t>VÄSTRA GÖTALANDS LÄN</t>
        </is>
      </c>
      <c r="G389" t="inlineStr">
        <is>
          <t>TANUM</t>
        </is>
      </c>
      <c r="I389" t="n">
        <v>0.5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s="2" t="inlineStr"/>
    </row>
    <row r="390" ht="15" customHeight="1">
      <c r="A390" t="inlineStr">
        <is>
          <t>A 39206-2026</t>
        </is>
      </c>
      <c r="B390" t="inlineStr">
        <is>
          <t>avverkningsanmälan</t>
        </is>
      </c>
      <c r="C390" t="inlineStr">
        <is>
          <t>Föryngringsavverkning</t>
        </is>
      </c>
      <c r="D390" s="1" t="n">
        <v>46286</v>
      </c>
      <c r="E390" s="1" t="n">
        <v>46312</v>
      </c>
      <c r="F390" t="inlineStr">
        <is>
          <t>VÄSTRA GÖTALANDS LÄN</t>
        </is>
      </c>
      <c r="G390" t="inlineStr">
        <is>
          <t>TANUM</t>
        </is>
      </c>
      <c r="I390" t="n">
        <v>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s="2" t="inlineStr"/>
    </row>
    <row r="391" ht="15" customHeight="1">
      <c r="A391" t="inlineStr">
        <is>
          <t>A 39137-2026</t>
        </is>
      </c>
      <c r="B391" t="inlineStr">
        <is>
          <t>avverkningsanmälan</t>
        </is>
      </c>
      <c r="C391" t="inlineStr">
        <is>
          <t>Föryngringsavverkning</t>
        </is>
      </c>
      <c r="D391" s="1" t="n">
        <v>46286</v>
      </c>
      <c r="E391" s="1" t="n">
        <v>46312</v>
      </c>
      <c r="F391" t="inlineStr">
        <is>
          <t>VÄSTRA GÖTALANDS LÄN</t>
        </is>
      </c>
      <c r="G391" t="inlineStr">
        <is>
          <t>TANUM</t>
        </is>
      </c>
      <c r="I391" t="n">
        <v>0.8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s="2" t="inlineStr"/>
    </row>
    <row r="392" ht="15" customHeight="1">
      <c r="A392" t="inlineStr">
        <is>
          <t>A 39139-2026</t>
        </is>
      </c>
      <c r="B392" t="inlineStr">
        <is>
          <t>avverkningsanmälan</t>
        </is>
      </c>
      <c r="C392" t="inlineStr">
        <is>
          <t>Föryngringsavverkning</t>
        </is>
      </c>
      <c r="D392" s="1" t="n">
        <v>46286</v>
      </c>
      <c r="E392" s="1" t="n">
        <v>46312</v>
      </c>
      <c r="F392" t="inlineStr">
        <is>
          <t>VÄSTRA GÖTALANDS LÄN</t>
        </is>
      </c>
      <c r="G392" t="inlineStr">
        <is>
          <t>TANUM</t>
        </is>
      </c>
      <c r="I392" t="n">
        <v>1.1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s="2" t="inlineStr"/>
    </row>
    <row r="393" ht="15" customHeight="1">
      <c r="A393" t="inlineStr">
        <is>
          <t>A 37106-2023</t>
        </is>
      </c>
      <c r="B393" t="inlineStr">
        <is>
          <t>avverkningsanmälan</t>
        </is>
      </c>
      <c r="C393" t="inlineStr">
        <is>
          <t>Föryngringsavverkning</t>
        </is>
      </c>
      <c r="D393" s="1" t="n">
        <v>45155</v>
      </c>
      <c r="E393" s="1" t="n">
        <v>46312</v>
      </c>
      <c r="F393" t="inlineStr">
        <is>
          <t>VÄSTRA GÖTALANDS LÄN</t>
        </is>
      </c>
      <c r="G393" t="inlineStr">
        <is>
          <t>TANUM</t>
        </is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s="2" t="inlineStr"/>
    </row>
    <row r="394" ht="15" customHeight="1">
      <c r="A394" t="inlineStr">
        <is>
          <t>A 21751-2023</t>
        </is>
      </c>
      <c r="B394" t="inlineStr">
        <is>
          <t>avverkningsanmälan</t>
        </is>
      </c>
      <c r="C394" t="inlineStr">
        <is>
          <t>Föryngringsavverkning</t>
        </is>
      </c>
      <c r="D394" s="1" t="n">
        <v>45063</v>
      </c>
      <c r="E394" s="1" t="n">
        <v>46312</v>
      </c>
      <c r="F394" t="inlineStr">
        <is>
          <t>VÄSTRA GÖTALANDS LÄN</t>
        </is>
      </c>
      <c r="G394" t="inlineStr">
        <is>
          <t>TANUM</t>
        </is>
      </c>
      <c r="H394" t="inlineStr">
        <is>
          <t>Kyrkan</t>
        </is>
      </c>
      <c r="I394" t="n">
        <v>3.5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s="2" t="inlineStr"/>
    </row>
    <row r="395" ht="15" customHeight="1">
      <c r="A395" t="inlineStr">
        <is>
          <t>A 37977-2024</t>
        </is>
      </c>
      <c r="B395" t="inlineStr">
        <is>
          <t>avverkningsanmälan</t>
        </is>
      </c>
      <c r="C395" t="inlineStr">
        <is>
          <t>Föryngringsavverkning</t>
        </is>
      </c>
      <c r="D395" s="1" t="n">
        <v>45544</v>
      </c>
      <c r="E395" s="1" t="n">
        <v>46312</v>
      </c>
      <c r="F395" t="inlineStr">
        <is>
          <t>VÄSTRA GÖTALANDS LÄN</t>
        </is>
      </c>
      <c r="G395" t="inlineStr">
        <is>
          <t>TANUM</t>
        </is>
      </c>
      <c r="I395" t="n">
        <v>0.5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s="2" t="inlineStr"/>
    </row>
    <row r="396" ht="15" customHeight="1">
      <c r="A396" t="inlineStr">
        <is>
          <t>A 59821-2022</t>
        </is>
      </c>
      <c r="B396" t="inlineStr">
        <is>
          <t>avverkningsanmälan</t>
        </is>
      </c>
      <c r="C396" t="inlineStr">
        <is>
          <t>Föryngringsavverkning</t>
        </is>
      </c>
      <c r="D396" s="1" t="n">
        <v>44908</v>
      </c>
      <c r="E396" s="1" t="n">
        <v>46312</v>
      </c>
      <c r="F396" t="inlineStr">
        <is>
          <t>VÄSTRA GÖTALANDS LÄN</t>
        </is>
      </c>
      <c r="G396" t="inlineStr">
        <is>
          <t>TANUM</t>
        </is>
      </c>
      <c r="I396" t="n">
        <v>9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s="2" t="inlineStr"/>
    </row>
    <row r="397" ht="15" customHeight="1">
      <c r="A397" t="inlineStr">
        <is>
          <t>A 21240-2024</t>
        </is>
      </c>
      <c r="B397" t="inlineStr">
        <is>
          <t>avverkningsanmälan</t>
        </is>
      </c>
      <c r="C397" t="inlineStr">
        <is>
          <t>Föryngringsavverkning</t>
        </is>
      </c>
      <c r="D397" s="1" t="n">
        <v>45440</v>
      </c>
      <c r="E397" s="1" t="n">
        <v>46312</v>
      </c>
      <c r="F397" t="inlineStr">
        <is>
          <t>VÄSTRA GÖTALANDS LÄN</t>
        </is>
      </c>
      <c r="G397" t="inlineStr">
        <is>
          <t>TANUM</t>
        </is>
      </c>
      <c r="I397" t="n">
        <v>3.1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s="2" t="inlineStr"/>
    </row>
    <row r="398" ht="15" customHeight="1">
      <c r="A398" t="inlineStr">
        <is>
          <t>A 20190-2022</t>
        </is>
      </c>
      <c r="B398" t="inlineStr">
        <is>
          <t>avverkningsanmälan</t>
        </is>
      </c>
      <c r="C398" t="inlineStr">
        <is>
          <t>Avverkning för annat ändamål</t>
        </is>
      </c>
      <c r="D398" s="1" t="n">
        <v>44698</v>
      </c>
      <c r="E398" s="1" t="n">
        <v>46312</v>
      </c>
      <c r="F398" t="inlineStr">
        <is>
          <t>VÄSTRA GÖTALANDS LÄN</t>
        </is>
      </c>
      <c r="G398" t="inlineStr">
        <is>
          <t>TANUM</t>
        </is>
      </c>
      <c r="I398" t="n">
        <v>1.1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s="2" t="inlineStr"/>
    </row>
    <row r="399" ht="15" customHeight="1">
      <c r="A399" t="inlineStr">
        <is>
          <t>A 37073-2023</t>
        </is>
      </c>
      <c r="B399" t="inlineStr">
        <is>
          <t>avverkningsanmälan</t>
        </is>
      </c>
      <c r="C399" t="inlineStr">
        <is>
          <t>Föryngringsavverkning</t>
        </is>
      </c>
      <c r="D399" s="1" t="n">
        <v>45154</v>
      </c>
      <c r="E399" s="1" t="n">
        <v>46312</v>
      </c>
      <c r="F399" t="inlineStr">
        <is>
          <t>VÄSTRA GÖTALANDS LÄN</t>
        </is>
      </c>
      <c r="G399" t="inlineStr">
        <is>
          <t>TANUM</t>
        </is>
      </c>
      <c r="I399" t="n">
        <v>1.2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s="2" t="inlineStr"/>
    </row>
    <row r="400" ht="15" customHeight="1">
      <c r="A400" t="inlineStr">
        <is>
          <t>A 6841-2023</t>
        </is>
      </c>
      <c r="B400" t="inlineStr">
        <is>
          <t>avverkningsanmälan</t>
        </is>
      </c>
      <c r="C400" t="inlineStr">
        <is>
          <t>Föryngringsavverkning</t>
        </is>
      </c>
      <c r="D400" s="1" t="n">
        <v>44964</v>
      </c>
      <c r="E400" s="1" t="n">
        <v>46312</v>
      </c>
      <c r="F400" t="inlineStr">
        <is>
          <t>VÄSTRA GÖTALANDS LÄN</t>
        </is>
      </c>
      <c r="G400" t="inlineStr">
        <is>
          <t>TANUM</t>
        </is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s="2" t="inlineStr"/>
    </row>
    <row r="401" ht="15" customHeight="1">
      <c r="A401" t="inlineStr">
        <is>
          <t>A 39975-2026</t>
        </is>
      </c>
      <c r="B401" t="inlineStr">
        <is>
          <t>avverkningsanmälan</t>
        </is>
      </c>
      <c r="C401" t="inlineStr">
        <is>
          <t>Föryngringsavverkning</t>
        </is>
      </c>
      <c r="D401" s="1" t="n">
        <v>46292</v>
      </c>
      <c r="E401" s="1" t="n">
        <v>46312</v>
      </c>
      <c r="F401" t="inlineStr">
        <is>
          <t>VÄSTRA GÖTALANDS LÄN</t>
        </is>
      </c>
      <c r="G401" t="inlineStr">
        <is>
          <t>TANUM</t>
        </is>
      </c>
      <c r="I401" t="n">
        <v>8.9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s="2" t="inlineStr"/>
    </row>
    <row r="402" ht="15" customHeight="1">
      <c r="A402" t="inlineStr">
        <is>
          <t>A 1555-2022</t>
        </is>
      </c>
      <c r="B402" t="inlineStr">
        <is>
          <t>avverkningsanmälan</t>
        </is>
      </c>
      <c r="C402" t="inlineStr">
        <is>
          <t>Föryngringsavverkning</t>
        </is>
      </c>
      <c r="D402" s="1" t="n">
        <v>44573</v>
      </c>
      <c r="E402" s="1" t="n">
        <v>46312</v>
      </c>
      <c r="F402" t="inlineStr">
        <is>
          <t>VÄSTRA GÖTALANDS LÄN</t>
        </is>
      </c>
      <c r="G402" t="inlineStr">
        <is>
          <t>TANUM</t>
        </is>
      </c>
      <c r="I402" t="n">
        <v>2.5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s="2" t="inlineStr"/>
    </row>
    <row r="403" ht="15" customHeight="1">
      <c r="A403" t="inlineStr">
        <is>
          <t>A 53406-2022</t>
        </is>
      </c>
      <c r="B403" t="inlineStr">
        <is>
          <t>avverkningsanmälan</t>
        </is>
      </c>
      <c r="C403" t="inlineStr">
        <is>
          <t>Föryngringsavverkning</t>
        </is>
      </c>
      <c r="D403" s="1" t="n">
        <v>44879</v>
      </c>
      <c r="E403" s="1" t="n">
        <v>46312</v>
      </c>
      <c r="F403" t="inlineStr">
        <is>
          <t>VÄSTRA GÖTALANDS LÄN</t>
        </is>
      </c>
      <c r="G403" t="inlineStr">
        <is>
          <t>TANUM</t>
        </is>
      </c>
      <c r="I403" t="n">
        <v>6.1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s="2" t="inlineStr"/>
    </row>
    <row r="404" ht="15" customHeight="1">
      <c r="A404" t="inlineStr">
        <is>
          <t>A 41067-2023</t>
        </is>
      </c>
      <c r="B404" t="inlineStr">
        <is>
          <t>avverkningsanmälan</t>
        </is>
      </c>
      <c r="C404" t="inlineStr">
        <is>
          <t>Föryngringsavverkning</t>
        </is>
      </c>
      <c r="D404" s="1" t="n">
        <v>45170</v>
      </c>
      <c r="E404" s="1" t="n">
        <v>46312</v>
      </c>
      <c r="F404" t="inlineStr">
        <is>
          <t>VÄSTRA GÖTALANDS LÄN</t>
        </is>
      </c>
      <c r="G404" t="inlineStr">
        <is>
          <t>TANUM</t>
        </is>
      </c>
      <c r="I404" t="n">
        <v>1.7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s="2" t="inlineStr"/>
    </row>
    <row r="405" ht="15" customHeight="1">
      <c r="A405" t="inlineStr">
        <is>
          <t>A 5392-2025</t>
        </is>
      </c>
      <c r="B405" t="inlineStr">
        <is>
          <t>avverkningsanmälan</t>
        </is>
      </c>
      <c r="C405" t="inlineStr">
        <is>
          <t>Föryngringsavverkning</t>
        </is>
      </c>
      <c r="D405" s="1" t="n">
        <v>45692</v>
      </c>
      <c r="E405" s="1" t="n">
        <v>46312</v>
      </c>
      <c r="F405" t="inlineStr">
        <is>
          <t>VÄSTRA GÖTALANDS LÄN</t>
        </is>
      </c>
      <c r="G405" t="inlineStr">
        <is>
          <t>TANUM</t>
        </is>
      </c>
      <c r="I405" t="n">
        <v>5.2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s="2" t="inlineStr"/>
    </row>
    <row r="406" ht="15" customHeight="1">
      <c r="A406" t="inlineStr">
        <is>
          <t>A 34101-2026</t>
        </is>
      </c>
      <c r="B406" t="inlineStr">
        <is>
          <t>avverkningsanmälan</t>
        </is>
      </c>
      <c r="C406" t="inlineStr">
        <is>
          <t>Föryngringsavverkning</t>
        </is>
      </c>
      <c r="D406" s="1" t="n">
        <v>46251</v>
      </c>
      <c r="E406" s="1" t="n">
        <v>46312</v>
      </c>
      <c r="F406" t="inlineStr">
        <is>
          <t>VÄSTRA GÖTALANDS LÄN</t>
        </is>
      </c>
      <c r="G406" t="inlineStr">
        <is>
          <t>TANUM</t>
        </is>
      </c>
      <c r="I406" t="n">
        <v>0.8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s="2" t="inlineStr"/>
    </row>
    <row r="407" ht="15" customHeight="1">
      <c r="A407" t="inlineStr">
        <is>
          <t>A 8584-2022</t>
        </is>
      </c>
      <c r="B407" t="inlineStr">
        <is>
          <t>avverkningsanmälan</t>
        </is>
      </c>
      <c r="C407" t="inlineStr">
        <is>
          <t>Föryngringsavverkning</t>
        </is>
      </c>
      <c r="D407" s="1" t="n">
        <v>44613</v>
      </c>
      <c r="E407" s="1" t="n">
        <v>46312</v>
      </c>
      <c r="F407" t="inlineStr">
        <is>
          <t>VÄSTRA GÖTALANDS LÄN</t>
        </is>
      </c>
      <c r="G407" t="inlineStr">
        <is>
          <t>TANUM</t>
        </is>
      </c>
      <c r="I407" t="n">
        <v>10.6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s="2" t="inlineStr"/>
    </row>
    <row r="408" ht="15" customHeight="1">
      <c r="A408" t="inlineStr">
        <is>
          <t>A 40120-2026</t>
        </is>
      </c>
      <c r="B408" t="inlineStr">
        <is>
          <t>avverkningsanmälan</t>
        </is>
      </c>
      <c r="C408" t="inlineStr">
        <is>
          <t>Föryngringsavverkning</t>
        </is>
      </c>
      <c r="D408" s="1" t="n">
        <v>46293</v>
      </c>
      <c r="E408" s="1" t="n">
        <v>46312</v>
      </c>
      <c r="F408" t="inlineStr">
        <is>
          <t>VÄSTRA GÖTALANDS LÄN</t>
        </is>
      </c>
      <c r="G408" t="inlineStr">
        <is>
          <t>TANUM</t>
        </is>
      </c>
      <c r="I408" t="n">
        <v>1.2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s="2" t="inlineStr"/>
    </row>
    <row r="409" ht="15" customHeight="1">
      <c r="A409" t="inlineStr">
        <is>
          <t>A 57684-2022</t>
        </is>
      </c>
      <c r="B409" t="inlineStr">
        <is>
          <t>avverkningsanmälan</t>
        </is>
      </c>
      <c r="C409" t="inlineStr">
        <is>
          <t>Föryngringsavverkning</t>
        </is>
      </c>
      <c r="D409" s="1" t="n">
        <v>44897</v>
      </c>
      <c r="E409" s="1" t="n">
        <v>46312</v>
      </c>
      <c r="F409" t="inlineStr">
        <is>
          <t>VÄSTRA GÖTALANDS LÄN</t>
        </is>
      </c>
      <c r="G409" t="inlineStr">
        <is>
          <t>TANUM</t>
        </is>
      </c>
      <c r="I409" t="n">
        <v>8.199999999999999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s="2" t="inlineStr"/>
    </row>
    <row r="410" ht="15" customHeight="1">
      <c r="A410" t="inlineStr">
        <is>
          <t>A 33400-2026</t>
        </is>
      </c>
      <c r="B410" t="inlineStr">
        <is>
          <t>avverkningsanmälan</t>
        </is>
      </c>
      <c r="C410" t="inlineStr">
        <is>
          <t>Föryngringsavverkning</t>
        </is>
      </c>
      <c r="D410" s="1" t="n">
        <v>46247</v>
      </c>
      <c r="E410" s="1" t="n">
        <v>46312</v>
      </c>
      <c r="F410" t="inlineStr">
        <is>
          <t>VÄSTRA GÖTALANDS LÄN</t>
        </is>
      </c>
      <c r="G410" t="inlineStr">
        <is>
          <t>TANUM</t>
        </is>
      </c>
      <c r="I410" t="n">
        <v>3.2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s="2" t="inlineStr"/>
    </row>
    <row r="411" ht="15" customHeight="1">
      <c r="A411" t="inlineStr">
        <is>
          <t>A 39059-2026</t>
        </is>
      </c>
      <c r="B411" t="inlineStr">
        <is>
          <t>avverkningsanmälan</t>
        </is>
      </c>
      <c r="C411" t="inlineStr">
        <is>
          <t>Föryngringsavverkning</t>
        </is>
      </c>
      <c r="D411" s="1" t="n">
        <v>46287</v>
      </c>
      <c r="E411" s="1" t="n">
        <v>46312</v>
      </c>
      <c r="F411" t="inlineStr">
        <is>
          <t>VÄSTRA GÖTALANDS LÄN</t>
        </is>
      </c>
      <c r="G411" t="inlineStr">
        <is>
          <t>TANUM</t>
        </is>
      </c>
      <c r="I411" t="n">
        <v>1.1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s="2" t="inlineStr"/>
    </row>
    <row r="412" ht="15" customHeight="1">
      <c r="A412" t="inlineStr">
        <is>
          <t>A 48987-2023</t>
        </is>
      </c>
      <c r="B412" t="inlineStr">
        <is>
          <t>avverkningsanmälan</t>
        </is>
      </c>
      <c r="C412" t="inlineStr">
        <is>
          <t>Föryngringsavverkning</t>
        </is>
      </c>
      <c r="D412" s="1" t="n">
        <v>45209</v>
      </c>
      <c r="E412" s="1" t="n">
        <v>46312</v>
      </c>
      <c r="F412" t="inlineStr">
        <is>
          <t>VÄSTRA GÖTALANDS LÄN</t>
        </is>
      </c>
      <c r="G412" t="inlineStr">
        <is>
          <t>TANUM</t>
        </is>
      </c>
      <c r="I412" t="n">
        <v>1.7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s="2" t="inlineStr"/>
    </row>
    <row r="413" ht="15" customHeight="1">
      <c r="A413" t="inlineStr">
        <is>
          <t>A 40048-2023</t>
        </is>
      </c>
      <c r="B413" t="inlineStr">
        <is>
          <t>avverkningsanmälan</t>
        </is>
      </c>
      <c r="C413" t="inlineStr">
        <is>
          <t>Föryngringsavverkning</t>
        </is>
      </c>
      <c r="D413" s="1" t="n">
        <v>45168</v>
      </c>
      <c r="E413" s="1" t="n">
        <v>46312</v>
      </c>
      <c r="F413" t="inlineStr">
        <is>
          <t>VÄSTRA GÖTALANDS LÄN</t>
        </is>
      </c>
      <c r="G413" t="inlineStr">
        <is>
          <t>TANUM</t>
        </is>
      </c>
      <c r="I413" t="n">
        <v>2.2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s="2" t="inlineStr"/>
    </row>
    <row r="414" ht="15" customHeight="1">
      <c r="A414" t="inlineStr">
        <is>
          <t>A 36929-2023</t>
        </is>
      </c>
      <c r="B414" t="inlineStr">
        <is>
          <t>avverkningsanmälan</t>
        </is>
      </c>
      <c r="C414" t="inlineStr">
        <is>
          <t>Föryngringsavverkning</t>
        </is>
      </c>
      <c r="D414" s="1" t="n">
        <v>45153</v>
      </c>
      <c r="E414" s="1" t="n">
        <v>46312</v>
      </c>
      <c r="F414" t="inlineStr">
        <is>
          <t>VÄSTRA GÖTALANDS LÄN</t>
        </is>
      </c>
      <c r="G414" t="inlineStr">
        <is>
          <t>TANUM</t>
        </is>
      </c>
      <c r="I414" t="n">
        <v>2.3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s="2" t="inlineStr"/>
    </row>
    <row r="415" ht="15" customHeight="1">
      <c r="A415" t="inlineStr">
        <is>
          <t>A 11145-2024</t>
        </is>
      </c>
      <c r="B415" t="inlineStr">
        <is>
          <t>avverkningsanmälan</t>
        </is>
      </c>
      <c r="C415" t="inlineStr">
        <is>
          <t>Föryngringsavverkning</t>
        </is>
      </c>
      <c r="D415" s="1" t="n">
        <v>45371</v>
      </c>
      <c r="E415" s="1" t="n">
        <v>46312</v>
      </c>
      <c r="F415" t="inlineStr">
        <is>
          <t>VÄSTRA GÖTALANDS LÄN</t>
        </is>
      </c>
      <c r="G415" t="inlineStr">
        <is>
          <t>TANUM</t>
        </is>
      </c>
      <c r="I415" t="n">
        <v>1.7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s="2" t="inlineStr"/>
    </row>
    <row r="416" ht="15" customHeight="1">
      <c r="A416" t="inlineStr">
        <is>
          <t>A 40050-2023</t>
        </is>
      </c>
      <c r="B416" t="inlineStr">
        <is>
          <t>avverkningsanmälan</t>
        </is>
      </c>
      <c r="C416" t="inlineStr">
        <is>
          <t>Föryngringsavverkning</t>
        </is>
      </c>
      <c r="D416" s="1" t="n">
        <v>45168</v>
      </c>
      <c r="E416" s="1" t="n">
        <v>46312</v>
      </c>
      <c r="F416" t="inlineStr">
        <is>
          <t>VÄSTRA GÖTALANDS LÄN</t>
        </is>
      </c>
      <c r="G416" t="inlineStr">
        <is>
          <t>TANUM</t>
        </is>
      </c>
      <c r="I416" t="n">
        <v>8.300000000000001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s="2" t="inlineStr"/>
    </row>
    <row r="417" ht="15" customHeight="1">
      <c r="A417" t="inlineStr">
        <is>
          <t>A 40276-2026</t>
        </is>
      </c>
      <c r="B417" t="inlineStr">
        <is>
          <t>avverkningsanmälan</t>
        </is>
      </c>
      <c r="C417" t="inlineStr">
        <is>
          <t>Föryngringsavverkning</t>
        </is>
      </c>
      <c r="D417" s="1" t="n">
        <v>46294</v>
      </c>
      <c r="E417" s="1" t="n">
        <v>46312</v>
      </c>
      <c r="F417" t="inlineStr">
        <is>
          <t>VÄSTRA GÖTALANDS LÄN</t>
        </is>
      </c>
      <c r="G417" t="inlineStr">
        <is>
          <t>TANUM</t>
        </is>
      </c>
      <c r="I417" t="n">
        <v>0.7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s="2" t="inlineStr"/>
    </row>
    <row r="418" ht="15" customHeight="1">
      <c r="A418" t="inlineStr">
        <is>
          <t>A 43921-2024</t>
        </is>
      </c>
      <c r="B418" t="inlineStr">
        <is>
          <t>avverkningsanmälan</t>
        </is>
      </c>
      <c r="C418" t="inlineStr">
        <is>
          <t>Föryngringsavverkning</t>
        </is>
      </c>
      <c r="D418" s="1" t="n">
        <v>45571</v>
      </c>
      <c r="E418" s="1" t="n">
        <v>46312</v>
      </c>
      <c r="F418" t="inlineStr">
        <is>
          <t>VÄSTRA GÖTALANDS LÄN</t>
        </is>
      </c>
      <c r="G418" t="inlineStr">
        <is>
          <t>TANUM</t>
        </is>
      </c>
      <c r="I418" t="n">
        <v>0.9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s="2" t="inlineStr"/>
    </row>
    <row r="419" ht="15" customHeight="1">
      <c r="A419" t="inlineStr">
        <is>
          <t>A 43242-2022</t>
        </is>
      </c>
      <c r="B419" t="inlineStr">
        <is>
          <t>avverkningsanmälan</t>
        </is>
      </c>
      <c r="C419" t="inlineStr">
        <is>
          <t>Föryngringsavverkning</t>
        </is>
      </c>
      <c r="D419" s="1" t="n">
        <v>44834</v>
      </c>
      <c r="E419" s="1" t="n">
        <v>46312</v>
      </c>
      <c r="F419" t="inlineStr">
        <is>
          <t>VÄSTRA GÖTALANDS LÄN</t>
        </is>
      </c>
      <c r="G419" t="inlineStr">
        <is>
          <t>TANUM</t>
        </is>
      </c>
      <c r="I419" t="n">
        <v>3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s="2" t="inlineStr"/>
    </row>
    <row r="420" ht="15" customHeight="1">
      <c r="A420" t="inlineStr">
        <is>
          <t>A 58335-2021</t>
        </is>
      </c>
      <c r="B420" t="inlineStr">
        <is>
          <t>avverkningsanmälan</t>
        </is>
      </c>
      <c r="C420" t="inlineStr">
        <is>
          <t>Föryngringsavverkning</t>
        </is>
      </c>
      <c r="D420" s="1" t="n">
        <v>44488</v>
      </c>
      <c r="E420" s="1" t="n">
        <v>46312</v>
      </c>
      <c r="F420" t="inlineStr">
        <is>
          <t>VÄSTRA GÖTALANDS LÄN</t>
        </is>
      </c>
      <c r="G420" t="inlineStr">
        <is>
          <t>TANUM</t>
        </is>
      </c>
      <c r="I420" t="n">
        <v>0.7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s="2" t="inlineStr"/>
    </row>
    <row r="421" ht="15" customHeight="1">
      <c r="A421" t="inlineStr">
        <is>
          <t>A 34351-2026</t>
        </is>
      </c>
      <c r="B421" t="inlineStr">
        <is>
          <t>avverkningsanmälan</t>
        </is>
      </c>
      <c r="C421" t="inlineStr">
        <is>
          <t>Föryngringsavverkning</t>
        </is>
      </c>
      <c r="D421" s="1" t="n">
        <v>46254</v>
      </c>
      <c r="E421" s="1" t="n">
        <v>46312</v>
      </c>
      <c r="F421" t="inlineStr">
        <is>
          <t>VÄSTRA GÖTALANDS LÄN</t>
        </is>
      </c>
      <c r="G421" t="inlineStr">
        <is>
          <t>TANUM</t>
        </is>
      </c>
      <c r="I421" t="n">
        <v>3.1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s="2" t="inlineStr"/>
    </row>
    <row r="422" ht="15" customHeight="1">
      <c r="A422" t="inlineStr">
        <is>
          <t>A 16644-2025</t>
        </is>
      </c>
      <c r="B422" t="inlineStr">
        <is>
          <t>avverkningsanmälan</t>
        </is>
      </c>
      <c r="C422" t="inlineStr">
        <is>
          <t>Föryngringsavverkning</t>
        </is>
      </c>
      <c r="D422" s="1" t="n">
        <v>45754</v>
      </c>
      <c r="E422" s="1" t="n">
        <v>46312</v>
      </c>
      <c r="F422" t="inlineStr">
        <is>
          <t>VÄSTRA GÖTALANDS LÄN</t>
        </is>
      </c>
      <c r="G422" t="inlineStr">
        <is>
          <t>TANUM</t>
        </is>
      </c>
      <c r="I422" t="n">
        <v>2.4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s="2" t="inlineStr"/>
    </row>
    <row r="423" ht="15" customHeight="1">
      <c r="A423" t="inlineStr">
        <is>
          <t>A 35136-2026</t>
        </is>
      </c>
      <c r="B423" t="inlineStr">
        <is>
          <t>avverkningsanmälan</t>
        </is>
      </c>
      <c r="C423" t="inlineStr">
        <is>
          <t>Föryngringsavverkning</t>
        </is>
      </c>
      <c r="D423" s="1" t="n">
        <v>46258</v>
      </c>
      <c r="E423" s="1" t="n">
        <v>46312</v>
      </c>
      <c r="F423" t="inlineStr">
        <is>
          <t>VÄSTRA GÖTALANDS LÄN</t>
        </is>
      </c>
      <c r="G423" t="inlineStr">
        <is>
          <t>TANUM</t>
        </is>
      </c>
      <c r="I423" t="n">
        <v>1.3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s="2" t="inlineStr"/>
    </row>
    <row r="424" ht="15" customHeight="1">
      <c r="A424" t="inlineStr">
        <is>
          <t>A 16646-2025</t>
        </is>
      </c>
      <c r="B424" t="inlineStr">
        <is>
          <t>avverkningsanmälan</t>
        </is>
      </c>
      <c r="C424" t="inlineStr">
        <is>
          <t>Föryngringsavverkning</t>
        </is>
      </c>
      <c r="D424" s="1" t="n">
        <v>45754</v>
      </c>
      <c r="E424" s="1" t="n">
        <v>46312</v>
      </c>
      <c r="F424" t="inlineStr">
        <is>
          <t>VÄSTRA GÖTALANDS LÄN</t>
        </is>
      </c>
      <c r="G424" t="inlineStr">
        <is>
          <t>TANUM</t>
        </is>
      </c>
      <c r="I424" t="n">
        <v>2.8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s="2" t="inlineStr"/>
    </row>
    <row r="425" ht="15" customHeight="1">
      <c r="A425" t="inlineStr">
        <is>
          <t>A 17515-2024</t>
        </is>
      </c>
      <c r="B425" t="inlineStr">
        <is>
          <t>avverkningsanmälan</t>
        </is>
      </c>
      <c r="C425" t="inlineStr">
        <is>
          <t>Föryngringsavverkning</t>
        </is>
      </c>
      <c r="D425" s="1" t="n">
        <v>45415</v>
      </c>
      <c r="E425" s="1" t="n">
        <v>46312</v>
      </c>
      <c r="F425" t="inlineStr">
        <is>
          <t>VÄSTRA GÖTALANDS LÄN</t>
        </is>
      </c>
      <c r="G425" t="inlineStr">
        <is>
          <t>TANUM</t>
        </is>
      </c>
      <c r="I425" t="n">
        <v>7.4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s="2" t="inlineStr"/>
    </row>
    <row r="426" ht="15" customHeight="1">
      <c r="A426" t="inlineStr">
        <is>
          <t>A 15691-2025</t>
        </is>
      </c>
      <c r="B426" t="inlineStr">
        <is>
          <t>avverkningsanmälan</t>
        </is>
      </c>
      <c r="C426" t="inlineStr">
        <is>
          <t>Föryngringsavverkning</t>
        </is>
      </c>
      <c r="D426" s="1" t="n">
        <v>45748</v>
      </c>
      <c r="E426" s="1" t="n">
        <v>46312</v>
      </c>
      <c r="F426" t="inlineStr">
        <is>
          <t>VÄSTRA GÖTALANDS LÄN</t>
        </is>
      </c>
      <c r="G426" t="inlineStr">
        <is>
          <t>TANUM</t>
        </is>
      </c>
      <c r="I426" t="n">
        <v>5.7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s="2" t="inlineStr"/>
    </row>
    <row r="427" ht="15" customHeight="1">
      <c r="A427" t="inlineStr">
        <is>
          <t>A 34848-2026</t>
        </is>
      </c>
      <c r="B427" t="inlineStr">
        <is>
          <t>avverkningsanmälan</t>
        </is>
      </c>
      <c r="C427" t="inlineStr">
        <is>
          <t>Avverkning för annat ändamål</t>
        </is>
      </c>
      <c r="D427" s="1" t="n">
        <v>46258</v>
      </c>
      <c r="E427" s="1" t="n">
        <v>46312</v>
      </c>
      <c r="F427" t="inlineStr">
        <is>
          <t>VÄSTRA GÖTALANDS LÄN</t>
        </is>
      </c>
      <c r="G427" t="inlineStr">
        <is>
          <t>TANUM</t>
        </is>
      </c>
      <c r="I427" t="n">
        <v>0.9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s="2" t="inlineStr"/>
    </row>
    <row r="428" ht="15" customHeight="1">
      <c r="A428" t="inlineStr">
        <is>
          <t>A 23609-2023</t>
        </is>
      </c>
      <c r="B428" t="inlineStr">
        <is>
          <t>avverkningsanmälan</t>
        </is>
      </c>
      <c r="C428" t="inlineStr">
        <is>
          <t>Föryngringsavverkning</t>
        </is>
      </c>
      <c r="D428" s="1" t="n">
        <v>45072</v>
      </c>
      <c r="E428" s="1" t="n">
        <v>46312</v>
      </c>
      <c r="F428" t="inlineStr">
        <is>
          <t>VÄSTRA GÖTALANDS LÄN</t>
        </is>
      </c>
      <c r="G428" t="inlineStr">
        <is>
          <t>TANUM</t>
        </is>
      </c>
      <c r="I428" t="n">
        <v>1.9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s="2" t="inlineStr"/>
    </row>
    <row r="429" ht="15" customHeight="1">
      <c r="A429" t="inlineStr">
        <is>
          <t>A 41249-2026</t>
        </is>
      </c>
      <c r="B429" t="inlineStr">
        <is>
          <t>avverkningsanmälan</t>
        </is>
      </c>
      <c r="C429" t="inlineStr">
        <is>
          <t>Föryngringsavverkning</t>
        </is>
      </c>
      <c r="D429" s="1" t="n">
        <v>46300</v>
      </c>
      <c r="E429" s="1" t="n">
        <v>46312</v>
      </c>
      <c r="F429" t="inlineStr">
        <is>
          <t>VÄSTRA GÖTALANDS LÄN</t>
        </is>
      </c>
      <c r="G429" t="inlineStr">
        <is>
          <t>TANUM</t>
        </is>
      </c>
      <c r="I429" t="n">
        <v>0.7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s="2" t="inlineStr"/>
    </row>
    <row r="430" ht="15" customHeight="1">
      <c r="A430" t="inlineStr">
        <is>
          <t>A 35166-2026</t>
        </is>
      </c>
      <c r="B430" t="inlineStr">
        <is>
          <t>avverkningsanmälan</t>
        </is>
      </c>
      <c r="C430" t="inlineStr">
        <is>
          <t>Föryngringsavverkning</t>
        </is>
      </c>
      <c r="D430" s="1" t="n">
        <v>46260</v>
      </c>
      <c r="E430" s="1" t="n">
        <v>46312</v>
      </c>
      <c r="F430" t="inlineStr">
        <is>
          <t>VÄSTRA GÖTALANDS LÄN</t>
        </is>
      </c>
      <c r="G430" t="inlineStr">
        <is>
          <t>TANUM</t>
        </is>
      </c>
      <c r="I430" t="n">
        <v>1.6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s="2" t="inlineStr"/>
    </row>
    <row r="431" ht="15" customHeight="1">
      <c r="A431" t="inlineStr">
        <is>
          <t>A 22666-2025</t>
        </is>
      </c>
      <c r="B431" t="inlineStr">
        <is>
          <t>avverkningsanmälan</t>
        </is>
      </c>
      <c r="C431" t="inlineStr">
        <is>
          <t>Föryngringsavverkning</t>
        </is>
      </c>
      <c r="D431" s="1" t="n">
        <v>45789</v>
      </c>
      <c r="E431" s="1" t="n">
        <v>46312</v>
      </c>
      <c r="F431" t="inlineStr">
        <is>
          <t>VÄSTRA GÖTALANDS LÄN</t>
        </is>
      </c>
      <c r="G431" t="inlineStr">
        <is>
          <t>TANUM</t>
        </is>
      </c>
      <c r="I431" t="n">
        <v>1.1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s="2" t="inlineStr"/>
    </row>
    <row r="432" ht="15" customHeight="1">
      <c r="A432" t="inlineStr">
        <is>
          <t>A 11487-2025</t>
        </is>
      </c>
      <c r="B432" t="inlineStr">
        <is>
          <t>avverkningsanmälan</t>
        </is>
      </c>
      <c r="C432" t="inlineStr">
        <is>
          <t>Föryngringsavverkning</t>
        </is>
      </c>
      <c r="D432" s="1" t="n">
        <v>45726</v>
      </c>
      <c r="E432" s="1" t="n">
        <v>46312</v>
      </c>
      <c r="F432" t="inlineStr">
        <is>
          <t>VÄSTRA GÖTALANDS LÄN</t>
        </is>
      </c>
      <c r="G432" t="inlineStr">
        <is>
          <t>TANUM</t>
        </is>
      </c>
      <c r="I432" t="n">
        <v>3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s="2" t="inlineStr"/>
    </row>
    <row r="433" ht="15" customHeight="1">
      <c r="A433" t="inlineStr">
        <is>
          <t>A 23115-2025</t>
        </is>
      </c>
      <c r="B433" t="inlineStr">
        <is>
          <t>avverkningsanmälan</t>
        </is>
      </c>
      <c r="C433" t="inlineStr">
        <is>
          <t>Föryngringsavverkning</t>
        </is>
      </c>
      <c r="D433" s="1" t="n">
        <v>45791</v>
      </c>
      <c r="E433" s="1" t="n">
        <v>46312</v>
      </c>
      <c r="F433" t="inlineStr">
        <is>
          <t>VÄSTRA GÖTALANDS LÄN</t>
        </is>
      </c>
      <c r="G433" t="inlineStr">
        <is>
          <t>TANUM</t>
        </is>
      </c>
      <c r="I433" t="n">
        <v>12.2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s="2" t="inlineStr"/>
    </row>
    <row r="434" ht="15" customHeight="1">
      <c r="A434" t="inlineStr">
        <is>
          <t>A 13810-2025</t>
        </is>
      </c>
      <c r="B434" t="inlineStr">
        <is>
          <t>avverkningsanmälan</t>
        </is>
      </c>
      <c r="C434" t="inlineStr">
        <is>
          <t>Föryngringsavverkning</t>
        </is>
      </c>
      <c r="D434" s="1" t="n">
        <v>45737</v>
      </c>
      <c r="E434" s="1" t="n">
        <v>46312</v>
      </c>
      <c r="F434" t="inlineStr">
        <is>
          <t>VÄSTRA GÖTALANDS LÄN</t>
        </is>
      </c>
      <c r="G434" t="inlineStr">
        <is>
          <t>TANUM</t>
        </is>
      </c>
      <c r="I434" t="n">
        <v>5.9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s="2" t="inlineStr"/>
    </row>
    <row r="435" ht="15" customHeight="1">
      <c r="A435" t="inlineStr">
        <is>
          <t>A 35074-2026</t>
        </is>
      </c>
      <c r="B435" t="inlineStr">
        <is>
          <t>avverkningsanmälan</t>
        </is>
      </c>
      <c r="C435" t="inlineStr">
        <is>
          <t>Föryngringsavverkning</t>
        </is>
      </c>
      <c r="D435" s="1" t="n">
        <v>46259</v>
      </c>
      <c r="E435" s="1" t="n">
        <v>46312</v>
      </c>
      <c r="F435" t="inlineStr">
        <is>
          <t>VÄSTRA GÖTALANDS LÄN</t>
        </is>
      </c>
      <c r="G435" t="inlineStr">
        <is>
          <t>TANUM</t>
        </is>
      </c>
      <c r="I435" t="n">
        <v>3.5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s="2" t="inlineStr"/>
    </row>
    <row r="436" ht="15" customHeight="1">
      <c r="A436" t="inlineStr">
        <is>
          <t>A 13832-2025</t>
        </is>
      </c>
      <c r="B436" t="inlineStr">
        <is>
          <t>avverkningsanmälan</t>
        </is>
      </c>
      <c r="C436" t="inlineStr">
        <is>
          <t>Föryngringsavverkning</t>
        </is>
      </c>
      <c r="D436" s="1" t="n">
        <v>45737</v>
      </c>
      <c r="E436" s="1" t="n">
        <v>46312</v>
      </c>
      <c r="F436" t="inlineStr">
        <is>
          <t>VÄSTRA GÖTALANDS LÄN</t>
        </is>
      </c>
      <c r="G436" t="inlineStr">
        <is>
          <t>TANUM</t>
        </is>
      </c>
      <c r="I436" t="n">
        <v>3.4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s="2" t="inlineStr"/>
    </row>
    <row r="437" ht="15" customHeight="1">
      <c r="A437" t="inlineStr">
        <is>
          <t>A 14965-2025</t>
        </is>
      </c>
      <c r="B437" t="inlineStr">
        <is>
          <t>avverkningsanmälan</t>
        </is>
      </c>
      <c r="C437" t="inlineStr">
        <is>
          <t>Föryngringsavverkning</t>
        </is>
      </c>
      <c r="D437" s="1" t="n">
        <v>45743</v>
      </c>
      <c r="E437" s="1" t="n">
        <v>46312</v>
      </c>
      <c r="F437" t="inlineStr">
        <is>
          <t>VÄSTRA GÖTALANDS LÄN</t>
        </is>
      </c>
      <c r="G437" t="inlineStr">
        <is>
          <t>TANUM</t>
        </is>
      </c>
      <c r="I437" t="n">
        <v>5.2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s="2" t="inlineStr"/>
    </row>
    <row r="438" ht="15" customHeight="1">
      <c r="A438" t="inlineStr">
        <is>
          <t>A 9697-2024</t>
        </is>
      </c>
      <c r="B438" t="inlineStr">
        <is>
          <t>avverkningsanmälan</t>
        </is>
      </c>
      <c r="C438" t="inlineStr">
        <is>
          <t>Föryngringsavverkning</t>
        </is>
      </c>
      <c r="D438" s="1" t="n">
        <v>45362</v>
      </c>
      <c r="E438" s="1" t="n">
        <v>46312</v>
      </c>
      <c r="F438" t="inlineStr">
        <is>
          <t>VÄSTRA GÖTALANDS LÄN</t>
        </is>
      </c>
      <c r="G438" t="inlineStr">
        <is>
          <t>TANUM</t>
        </is>
      </c>
      <c r="H438" t="inlineStr">
        <is>
          <t>Kyrkan</t>
        </is>
      </c>
      <c r="I438" t="n">
        <v>1.9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s="2" t="inlineStr"/>
    </row>
    <row r="439" ht="15" customHeight="1">
      <c r="A439" t="inlineStr">
        <is>
          <t>A 39480-2024</t>
        </is>
      </c>
      <c r="B439" t="inlineStr">
        <is>
          <t>avverkningsanmälan</t>
        </is>
      </c>
      <c r="C439" t="inlineStr">
        <is>
          <t>Föryngringsavverkning</t>
        </is>
      </c>
      <c r="D439" s="1" t="n">
        <v>45551</v>
      </c>
      <c r="E439" s="1" t="n">
        <v>46312</v>
      </c>
      <c r="F439" t="inlineStr">
        <is>
          <t>VÄSTRA GÖTALANDS LÄN</t>
        </is>
      </c>
      <c r="G439" t="inlineStr">
        <is>
          <t>TANUM</t>
        </is>
      </c>
      <c r="I439" t="n">
        <v>1.6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s="2" t="inlineStr"/>
    </row>
    <row r="440" ht="15" customHeight="1">
      <c r="A440" t="inlineStr">
        <is>
          <t>A 53421-2022</t>
        </is>
      </c>
      <c r="B440" t="inlineStr">
        <is>
          <t>avverkningsanmälan</t>
        </is>
      </c>
      <c r="C440" t="inlineStr">
        <is>
          <t>Föryngringsavverkning</t>
        </is>
      </c>
      <c r="D440" s="1" t="n">
        <v>44879</v>
      </c>
      <c r="E440" s="1" t="n">
        <v>46312</v>
      </c>
      <c r="F440" t="inlineStr">
        <is>
          <t>VÄSTRA GÖTALANDS LÄN</t>
        </is>
      </c>
      <c r="G440" t="inlineStr">
        <is>
          <t>TANUM</t>
        </is>
      </c>
      <c r="I440" t="n">
        <v>2.1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s="2" t="inlineStr"/>
    </row>
    <row r="441" ht="15" customHeight="1">
      <c r="A441" t="inlineStr">
        <is>
          <t>A 985-2024</t>
        </is>
      </c>
      <c r="B441" t="inlineStr">
        <is>
          <t>avverkningsanmälan</t>
        </is>
      </c>
      <c r="C441" t="inlineStr">
        <is>
          <t>Föryngringsavverkning</t>
        </is>
      </c>
      <c r="D441" s="1" t="n">
        <v>45301</v>
      </c>
      <c r="E441" s="1" t="n">
        <v>46312</v>
      </c>
      <c r="F441" t="inlineStr">
        <is>
          <t>VÄSTRA GÖTALANDS LÄN</t>
        </is>
      </c>
      <c r="G441" t="inlineStr">
        <is>
          <t>TANUM</t>
        </is>
      </c>
      <c r="I441" t="n">
        <v>1.5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s="2" t="inlineStr"/>
    </row>
    <row r="442" ht="15" customHeight="1">
      <c r="A442" t="inlineStr">
        <is>
          <t>A 24697-2023</t>
        </is>
      </c>
      <c r="B442" t="inlineStr">
        <is>
          <t>avverkningsanmälan</t>
        </is>
      </c>
      <c r="C442" t="inlineStr">
        <is>
          <t>Föryngringsavverkning</t>
        </is>
      </c>
      <c r="D442" s="1" t="n">
        <v>45084</v>
      </c>
      <c r="E442" s="1" t="n">
        <v>46312</v>
      </c>
      <c r="F442" t="inlineStr">
        <is>
          <t>VÄSTRA GÖTALANDS LÄN</t>
        </is>
      </c>
      <c r="G442" t="inlineStr">
        <is>
          <t>TANUM</t>
        </is>
      </c>
      <c r="I442" t="n">
        <v>5.3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s="2" t="inlineStr"/>
    </row>
    <row r="443" ht="15" customHeight="1">
      <c r="A443" t="inlineStr">
        <is>
          <t>A 14895-2025</t>
        </is>
      </c>
      <c r="B443" t="inlineStr">
        <is>
          <t>avverkningsanmälan</t>
        </is>
      </c>
      <c r="C443" t="inlineStr">
        <is>
          <t>Föryngringsavverkning</t>
        </is>
      </c>
      <c r="D443" s="1" t="n">
        <v>45743</v>
      </c>
      <c r="E443" s="1" t="n">
        <v>46312</v>
      </c>
      <c r="F443" t="inlineStr">
        <is>
          <t>VÄSTRA GÖTALANDS LÄN</t>
        </is>
      </c>
      <c r="G443" t="inlineStr">
        <is>
          <t>TANUM</t>
        </is>
      </c>
      <c r="I443" t="n">
        <v>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s="2" t="inlineStr"/>
    </row>
    <row r="444" ht="15" customHeight="1">
      <c r="A444" t="inlineStr">
        <is>
          <t>A 11936-2025</t>
        </is>
      </c>
      <c r="B444" t="inlineStr">
        <is>
          <t>avverkningsanmälan</t>
        </is>
      </c>
      <c r="C444" t="inlineStr">
        <is>
          <t>Föryngringsavverkning</t>
        </is>
      </c>
      <c r="D444" s="1" t="n">
        <v>45728</v>
      </c>
      <c r="E444" s="1" t="n">
        <v>46312</v>
      </c>
      <c r="F444" t="inlineStr">
        <is>
          <t>VÄSTRA GÖTALANDS LÄN</t>
        </is>
      </c>
      <c r="G444" t="inlineStr">
        <is>
          <t>TANUM</t>
        </is>
      </c>
      <c r="I444" t="n">
        <v>2.3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s="2" t="inlineStr"/>
    </row>
    <row r="445" ht="15" customHeight="1">
      <c r="A445" t="inlineStr">
        <is>
          <t>A 14012-2024</t>
        </is>
      </c>
      <c r="B445" t="inlineStr">
        <is>
          <t>avverkningsanmälan</t>
        </is>
      </c>
      <c r="C445" t="inlineStr">
        <is>
          <t>Föryngringsavverkning</t>
        </is>
      </c>
      <c r="D445" s="1" t="n">
        <v>45392</v>
      </c>
      <c r="E445" s="1" t="n">
        <v>46312</v>
      </c>
      <c r="F445" t="inlineStr">
        <is>
          <t>VÄSTRA GÖTALANDS LÄN</t>
        </is>
      </c>
      <c r="G445" t="inlineStr">
        <is>
          <t>TANUM</t>
        </is>
      </c>
      <c r="I445" t="n">
        <v>3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s="2" t="inlineStr"/>
    </row>
    <row r="446" ht="15" customHeight="1">
      <c r="A446" t="inlineStr">
        <is>
          <t>A 35437-2026</t>
        </is>
      </c>
      <c r="B446" t="inlineStr">
        <is>
          <t>avverkningsanmälan</t>
        </is>
      </c>
      <c r="C446" t="inlineStr">
        <is>
          <t>Föryngringsavverkning</t>
        </is>
      </c>
      <c r="D446" s="1" t="n">
        <v>46262</v>
      </c>
      <c r="E446" s="1" t="n">
        <v>46312</v>
      </c>
      <c r="F446" t="inlineStr">
        <is>
          <t>VÄSTRA GÖTALANDS LÄN</t>
        </is>
      </c>
      <c r="G446" t="inlineStr">
        <is>
          <t>TANUM</t>
        </is>
      </c>
      <c r="I446" t="n">
        <v>1.5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s="2" t="inlineStr"/>
    </row>
    <row r="447" ht="15" customHeight="1">
      <c r="A447" t="inlineStr">
        <is>
          <t>A 26264-2025</t>
        </is>
      </c>
      <c r="B447" t="inlineStr">
        <is>
          <t>avverkningsanmälan</t>
        </is>
      </c>
      <c r="C447" t="inlineStr">
        <is>
          <t>Föryngringsavverkning</t>
        </is>
      </c>
      <c r="D447" s="1" t="n">
        <v>45805</v>
      </c>
      <c r="E447" s="1" t="n">
        <v>46312</v>
      </c>
      <c r="F447" t="inlineStr">
        <is>
          <t>VÄSTRA GÖTALANDS LÄN</t>
        </is>
      </c>
      <c r="G447" t="inlineStr">
        <is>
          <t>TANUM</t>
        </is>
      </c>
      <c r="I447" t="n">
        <v>2.3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s="2" t="inlineStr"/>
    </row>
    <row r="448" ht="15" customHeight="1">
      <c r="A448" t="inlineStr">
        <is>
          <t>A 42614-2026</t>
        </is>
      </c>
      <c r="B448" t="inlineStr">
        <is>
          <t>avverkningsanmälan</t>
        </is>
      </c>
      <c r="C448" t="inlineStr">
        <is>
          <t>Föryngringsavverkning</t>
        </is>
      </c>
      <c r="D448" s="1" t="n">
        <v>46307</v>
      </c>
      <c r="E448" s="1" t="n">
        <v>46312</v>
      </c>
      <c r="F448" t="inlineStr">
        <is>
          <t>VÄSTRA GÖTALANDS LÄN</t>
        </is>
      </c>
      <c r="G448" t="inlineStr">
        <is>
          <t>TANUM</t>
        </is>
      </c>
      <c r="I448" t="n">
        <v>1.8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s="2" t="inlineStr"/>
    </row>
    <row r="449" ht="15" customHeight="1">
      <c r="A449" t="inlineStr">
        <is>
          <t>A 3056-2026</t>
        </is>
      </c>
      <c r="B449" t="inlineStr">
        <is>
          <t>avverkningsanmälan</t>
        </is>
      </c>
      <c r="C449" t="inlineStr">
        <is>
          <t>Föryngringsavverkning</t>
        </is>
      </c>
      <c r="D449" s="1" t="n">
        <v>46039</v>
      </c>
      <c r="E449" s="1" t="n">
        <v>46312</v>
      </c>
      <c r="F449" t="inlineStr">
        <is>
          <t>VÄSTRA GÖTALANDS LÄN</t>
        </is>
      </c>
      <c r="G449" t="inlineStr">
        <is>
          <t>TANUM</t>
        </is>
      </c>
      <c r="I449" t="n">
        <v>1.3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s="2" t="inlineStr"/>
    </row>
    <row r="450" ht="15" customHeight="1">
      <c r="A450" t="inlineStr">
        <is>
          <t>A 48750-2024</t>
        </is>
      </c>
      <c r="B450" t="inlineStr">
        <is>
          <t>avverkningsanmälan</t>
        </is>
      </c>
      <c r="C450" t="inlineStr">
        <is>
          <t>Föryngringsavverkning</t>
        </is>
      </c>
      <c r="D450" s="1" t="n">
        <v>45593</v>
      </c>
      <c r="E450" s="1" t="n">
        <v>46312</v>
      </c>
      <c r="F450" t="inlineStr">
        <is>
          <t>VÄSTRA GÖTALANDS LÄN</t>
        </is>
      </c>
      <c r="G450" t="inlineStr">
        <is>
          <t>TANUM</t>
        </is>
      </c>
      <c r="I450" t="n">
        <v>2.9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s="2" t="inlineStr"/>
    </row>
    <row r="451" ht="15" customHeight="1">
      <c r="A451" t="inlineStr">
        <is>
          <t>A 33869-2025</t>
        </is>
      </c>
      <c r="B451" t="inlineStr">
        <is>
          <t>avverkningsanmälan</t>
        </is>
      </c>
      <c r="C451" t="inlineStr">
        <is>
          <t>Föryngringsavverkning</t>
        </is>
      </c>
      <c r="D451" s="1" t="n">
        <v>45842</v>
      </c>
      <c r="E451" s="1" t="n">
        <v>46312</v>
      </c>
      <c r="F451" t="inlineStr">
        <is>
          <t>VÄSTRA GÖTALANDS LÄN</t>
        </is>
      </c>
      <c r="G451" t="inlineStr">
        <is>
          <t>TANUM</t>
        </is>
      </c>
      <c r="I451" t="n">
        <v>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s="2" t="inlineStr"/>
    </row>
    <row r="452" ht="15" customHeight="1">
      <c r="A452" t="inlineStr">
        <is>
          <t>A 4224-2024</t>
        </is>
      </c>
      <c r="B452" t="inlineStr">
        <is>
          <t>avverkningsanmälan</t>
        </is>
      </c>
      <c r="C452" t="inlineStr">
        <is>
          <t>Avverkning för annat ändamål</t>
        </is>
      </c>
      <c r="D452" s="1" t="n">
        <v>45324</v>
      </c>
      <c r="E452" s="1" t="n">
        <v>46312</v>
      </c>
      <c r="F452" t="inlineStr">
        <is>
          <t>VÄSTRA GÖTALANDS LÄN</t>
        </is>
      </c>
      <c r="G452" t="inlineStr">
        <is>
          <t>TANUM</t>
        </is>
      </c>
      <c r="I452" t="n">
        <v>1.4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s="2" t="inlineStr"/>
    </row>
    <row r="453" ht="15" customHeight="1">
      <c r="A453" t="inlineStr">
        <is>
          <t>A 16603-2025</t>
        </is>
      </c>
      <c r="B453" t="inlineStr">
        <is>
          <t>avverkningsanmälan</t>
        </is>
      </c>
      <c r="C453" t="inlineStr">
        <is>
          <t>Föryngringsavverkning</t>
        </is>
      </c>
      <c r="D453" s="1" t="n">
        <v>45753</v>
      </c>
      <c r="E453" s="1" t="n">
        <v>46312</v>
      </c>
      <c r="F453" t="inlineStr">
        <is>
          <t>VÄSTRA GÖTALANDS LÄN</t>
        </is>
      </c>
      <c r="G453" t="inlineStr">
        <is>
          <t>TANUM</t>
        </is>
      </c>
      <c r="I453" t="n">
        <v>2.8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s="2" t="inlineStr"/>
    </row>
    <row r="454" ht="15" customHeight="1">
      <c r="A454" t="inlineStr">
        <is>
          <t>A 28546-2025</t>
        </is>
      </c>
      <c r="B454" t="inlineStr">
        <is>
          <t>avverkningsanmälan</t>
        </is>
      </c>
      <c r="C454" t="inlineStr">
        <is>
          <t>Föryngringsavverkning</t>
        </is>
      </c>
      <c r="D454" s="1" t="n">
        <v>45819</v>
      </c>
      <c r="E454" s="1" t="n">
        <v>46312</v>
      </c>
      <c r="F454" t="inlineStr">
        <is>
          <t>VÄSTRA GÖTALANDS LÄN</t>
        </is>
      </c>
      <c r="G454" t="inlineStr">
        <is>
          <t>TANUM</t>
        </is>
      </c>
      <c r="I454" t="n">
        <v>4.6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s="2" t="inlineStr"/>
    </row>
    <row r="455" ht="15" customHeight="1">
      <c r="A455" t="inlineStr">
        <is>
          <t>A 36129-2026</t>
        </is>
      </c>
      <c r="B455" t="inlineStr">
        <is>
          <t>avverkningsanmälan</t>
        </is>
      </c>
      <c r="C455" t="inlineStr">
        <is>
          <t>Föryngringsavverkning</t>
        </is>
      </c>
      <c r="D455" s="1" t="n">
        <v>46267</v>
      </c>
      <c r="E455" s="1" t="n">
        <v>46312</v>
      </c>
      <c r="F455" t="inlineStr">
        <is>
          <t>VÄSTRA GÖTALANDS LÄN</t>
        </is>
      </c>
      <c r="G455" t="inlineStr">
        <is>
          <t>TANUM</t>
        </is>
      </c>
      <c r="I455" t="n">
        <v>1.1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s="2" t="inlineStr"/>
    </row>
    <row r="456" ht="15" customHeight="1">
      <c r="A456" t="inlineStr">
        <is>
          <t>A 31683-2025</t>
        </is>
      </c>
      <c r="B456" t="inlineStr">
        <is>
          <t>avverkningsanmälan</t>
        </is>
      </c>
      <c r="C456" t="inlineStr">
        <is>
          <t>Föryngringsavverkning</t>
        </is>
      </c>
      <c r="D456" s="1" t="n">
        <v>45834</v>
      </c>
      <c r="E456" s="1" t="n">
        <v>46312</v>
      </c>
      <c r="F456" t="inlineStr">
        <is>
          <t>VÄSTRA GÖTALANDS LÄN</t>
        </is>
      </c>
      <c r="G456" t="inlineStr">
        <is>
          <t>TANUM</t>
        </is>
      </c>
      <c r="I456" t="n">
        <v>4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s="2" t="inlineStr"/>
    </row>
    <row r="457" ht="15" customHeight="1">
      <c r="A457" t="inlineStr">
        <is>
          <t>A 31736-2025</t>
        </is>
      </c>
      <c r="B457" t="inlineStr">
        <is>
          <t>avverkningsanmälan</t>
        </is>
      </c>
      <c r="C457" t="inlineStr">
        <is>
          <t>Föryngringsavverkning</t>
        </is>
      </c>
      <c r="D457" s="1" t="n">
        <v>45834</v>
      </c>
      <c r="E457" s="1" t="n">
        <v>46312</v>
      </c>
      <c r="F457" t="inlineStr">
        <is>
          <t>VÄSTRA GÖTALANDS LÄN</t>
        </is>
      </c>
      <c r="G457" t="inlineStr">
        <is>
          <t>TANUM</t>
        </is>
      </c>
      <c r="I457" t="n">
        <v>2.2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s="2" t="inlineStr"/>
    </row>
    <row r="458" ht="15" customHeight="1">
      <c r="A458" t="inlineStr">
        <is>
          <t>A 28760-2025</t>
        </is>
      </c>
      <c r="B458" t="inlineStr">
        <is>
          <t>avverkningsanmälan</t>
        </is>
      </c>
      <c r="C458" t="inlineStr">
        <is>
          <t>Föryngringsavverkning</t>
        </is>
      </c>
      <c r="D458" s="1" t="n">
        <v>45820</v>
      </c>
      <c r="E458" s="1" t="n">
        <v>46312</v>
      </c>
      <c r="F458" t="inlineStr">
        <is>
          <t>VÄSTRA GÖTALANDS LÄN</t>
        </is>
      </c>
      <c r="G458" t="inlineStr">
        <is>
          <t>TANUM</t>
        </is>
      </c>
      <c r="I458" t="n">
        <v>2.1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s="2" t="inlineStr"/>
    </row>
    <row r="459" ht="15" customHeight="1">
      <c r="A459" t="inlineStr">
        <is>
          <t>A 33864-2025</t>
        </is>
      </c>
      <c r="B459" t="inlineStr">
        <is>
          <t>avverkningsanmälan</t>
        </is>
      </c>
      <c r="C459" t="inlineStr">
        <is>
          <t>Föryngringsavverkning</t>
        </is>
      </c>
      <c r="D459" s="1" t="n">
        <v>45842</v>
      </c>
      <c r="E459" s="1" t="n">
        <v>46312</v>
      </c>
      <c r="F459" t="inlineStr">
        <is>
          <t>VÄSTRA GÖTALANDS LÄN</t>
        </is>
      </c>
      <c r="G459" t="inlineStr">
        <is>
          <t>TANUM</t>
        </is>
      </c>
      <c r="I459" t="n">
        <v>0.3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s="2" t="inlineStr"/>
    </row>
    <row r="460" ht="15" customHeight="1">
      <c r="A460" t="inlineStr">
        <is>
          <t>A 33874-2025</t>
        </is>
      </c>
      <c r="B460" t="inlineStr">
        <is>
          <t>avverkningsanmälan</t>
        </is>
      </c>
      <c r="C460" t="inlineStr">
        <is>
          <t>Föryngringsavverkning</t>
        </is>
      </c>
      <c r="D460" s="1" t="n">
        <v>45842</v>
      </c>
      <c r="E460" s="1" t="n">
        <v>46312</v>
      </c>
      <c r="F460" t="inlineStr">
        <is>
          <t>VÄSTRA GÖTALANDS LÄN</t>
        </is>
      </c>
      <c r="G460" t="inlineStr">
        <is>
          <t>TANUM</t>
        </is>
      </c>
      <c r="I460" t="n">
        <v>0.7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s="2" t="inlineStr"/>
    </row>
    <row r="461" ht="15" customHeight="1">
      <c r="A461" t="inlineStr">
        <is>
          <t>A 33976-2024</t>
        </is>
      </c>
      <c r="B461" t="inlineStr">
        <is>
          <t>avverkningsanmälan</t>
        </is>
      </c>
      <c r="C461" t="inlineStr">
        <is>
          <t>Föryngringsavverkning</t>
        </is>
      </c>
      <c r="D461" s="1" t="n">
        <v>45522</v>
      </c>
      <c r="E461" s="1" t="n">
        <v>46312</v>
      </c>
      <c r="F461" t="inlineStr">
        <is>
          <t>VÄSTRA GÖTALANDS LÄN</t>
        </is>
      </c>
      <c r="G461" t="inlineStr">
        <is>
          <t>TANUM</t>
        </is>
      </c>
      <c r="I461" t="n">
        <v>1.4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s="2" t="inlineStr"/>
    </row>
    <row r="462" ht="15" customHeight="1">
      <c r="A462" t="inlineStr">
        <is>
          <t>A 36686-2025</t>
        </is>
      </c>
      <c r="B462" t="inlineStr">
        <is>
          <t>avverkningsanmälan</t>
        </is>
      </c>
      <c r="C462" t="inlineStr">
        <is>
          <t>Föryngringsavverkning</t>
        </is>
      </c>
      <c r="D462" s="1" t="n">
        <v>45872</v>
      </c>
      <c r="E462" s="1" t="n">
        <v>46312</v>
      </c>
      <c r="F462" t="inlineStr">
        <is>
          <t>VÄSTRA GÖTALANDS LÄN</t>
        </is>
      </c>
      <c r="G462" t="inlineStr">
        <is>
          <t>TANUM</t>
        </is>
      </c>
      <c r="I462" t="n">
        <v>1.9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s="2" t="inlineStr"/>
    </row>
    <row r="463" ht="15" customHeight="1">
      <c r="A463" t="inlineStr">
        <is>
          <t>A 36884-2025</t>
        </is>
      </c>
      <c r="B463" t="inlineStr">
        <is>
          <t>avverkningsanmälan</t>
        </is>
      </c>
      <c r="C463" t="inlineStr">
        <is>
          <t>Föryngringsavverkning</t>
        </is>
      </c>
      <c r="D463" s="1" t="n">
        <v>45874</v>
      </c>
      <c r="E463" s="1" t="n">
        <v>46312</v>
      </c>
      <c r="F463" t="inlineStr">
        <is>
          <t>VÄSTRA GÖTALANDS LÄN</t>
        </is>
      </c>
      <c r="G463" t="inlineStr">
        <is>
          <t>TANUM</t>
        </is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s="2" t="inlineStr"/>
    </row>
    <row r="464" ht="15" customHeight="1">
      <c r="A464" t="inlineStr">
        <is>
          <t>A 36742-2025</t>
        </is>
      </c>
      <c r="B464" t="inlineStr">
        <is>
          <t>avverkningsanmälan</t>
        </is>
      </c>
      <c r="C464" t="inlineStr">
        <is>
          <t>Föryngringsavverkning</t>
        </is>
      </c>
      <c r="D464" s="1" t="n">
        <v>45873</v>
      </c>
      <c r="E464" s="1" t="n">
        <v>46312</v>
      </c>
      <c r="F464" t="inlineStr">
        <is>
          <t>VÄSTRA GÖTALANDS LÄN</t>
        </is>
      </c>
      <c r="G464" t="inlineStr">
        <is>
          <t>TANUM</t>
        </is>
      </c>
      <c r="I464" t="n">
        <v>6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s="2" t="inlineStr"/>
    </row>
    <row r="465" ht="15" customHeight="1">
      <c r="A465" t="inlineStr">
        <is>
          <t>A 36887-2025</t>
        </is>
      </c>
      <c r="B465" t="inlineStr">
        <is>
          <t>avverkningsanmälan</t>
        </is>
      </c>
      <c r="C465" t="inlineStr">
        <is>
          <t>Föryngringsavverkning</t>
        </is>
      </c>
      <c r="D465" s="1" t="n">
        <v>45874</v>
      </c>
      <c r="E465" s="1" t="n">
        <v>46312</v>
      </c>
      <c r="F465" t="inlineStr">
        <is>
          <t>VÄSTRA GÖTALANDS LÄN</t>
        </is>
      </c>
      <c r="G465" t="inlineStr">
        <is>
          <t>TANUM</t>
        </is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s="2" t="inlineStr"/>
    </row>
    <row r="466" ht="15" customHeight="1">
      <c r="A466" t="inlineStr">
        <is>
          <t>A 36858-2025</t>
        </is>
      </c>
      <c r="B466" t="inlineStr">
        <is>
          <t>avverkningsanmälan</t>
        </is>
      </c>
      <c r="C466" t="inlineStr">
        <is>
          <t>Föryngringsavverkning</t>
        </is>
      </c>
      <c r="D466" s="1" t="n">
        <v>45874</v>
      </c>
      <c r="E466" s="1" t="n">
        <v>46312</v>
      </c>
      <c r="F466" t="inlineStr">
        <is>
          <t>VÄSTRA GÖTALANDS LÄN</t>
        </is>
      </c>
      <c r="G466" t="inlineStr">
        <is>
          <t>TANUM</t>
        </is>
      </c>
      <c r="I466" t="n">
        <v>2.8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s="2" t="inlineStr"/>
    </row>
    <row r="467" ht="15" customHeight="1">
      <c r="A467" t="inlineStr">
        <is>
          <t>A 8473-2025</t>
        </is>
      </c>
      <c r="B467" t="inlineStr">
        <is>
          <t>avverkningsanmälan</t>
        </is>
      </c>
      <c r="C467" t="inlineStr">
        <is>
          <t>Föryngringsavverkning</t>
        </is>
      </c>
      <c r="D467" s="1" t="n">
        <v>45709</v>
      </c>
      <c r="E467" s="1" t="n">
        <v>46312</v>
      </c>
      <c r="F467" t="inlineStr">
        <is>
          <t>VÄSTRA GÖTALANDS LÄN</t>
        </is>
      </c>
      <c r="G467" t="inlineStr">
        <is>
          <t>TANUM</t>
        </is>
      </c>
      <c r="I467" t="n">
        <v>1.3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s="2" t="inlineStr"/>
    </row>
    <row r="468" ht="15" customHeight="1">
      <c r="A468" t="inlineStr">
        <is>
          <t>A 37641-2025</t>
        </is>
      </c>
      <c r="B468" t="inlineStr">
        <is>
          <t>avverkningsanmälan</t>
        </is>
      </c>
      <c r="C468" t="inlineStr">
        <is>
          <t>Föryngringsavverkning</t>
        </is>
      </c>
      <c r="D468" s="1" t="n">
        <v>45880</v>
      </c>
      <c r="E468" s="1" t="n">
        <v>46312</v>
      </c>
      <c r="F468" t="inlineStr">
        <is>
          <t>VÄSTRA GÖTALANDS LÄN</t>
        </is>
      </c>
      <c r="G468" t="inlineStr">
        <is>
          <t>TANUM</t>
        </is>
      </c>
      <c r="I468" t="n">
        <v>5.9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s="2" t="inlineStr"/>
    </row>
    <row r="469" ht="15" customHeight="1">
      <c r="A469" t="inlineStr">
        <is>
          <t>A 37639-2025</t>
        </is>
      </c>
      <c r="B469" t="inlineStr">
        <is>
          <t>avverkningsanmälan</t>
        </is>
      </c>
      <c r="C469" t="inlineStr">
        <is>
          <t>Föryngringsavverkning</t>
        </is>
      </c>
      <c r="D469" s="1" t="n">
        <v>45880</v>
      </c>
      <c r="E469" s="1" t="n">
        <v>46312</v>
      </c>
      <c r="F469" t="inlineStr">
        <is>
          <t>VÄSTRA GÖTALANDS LÄN</t>
        </is>
      </c>
      <c r="G469" t="inlineStr">
        <is>
          <t>TANUM</t>
        </is>
      </c>
      <c r="I469" t="n">
        <v>1.6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s="2" t="inlineStr"/>
    </row>
    <row r="470" ht="15" customHeight="1">
      <c r="A470" t="inlineStr">
        <is>
          <t>A 37637-2025</t>
        </is>
      </c>
      <c r="B470" t="inlineStr">
        <is>
          <t>avverkningsanmälan</t>
        </is>
      </c>
      <c r="C470" t="inlineStr">
        <is>
          <t>Föryngringsavverkning</t>
        </is>
      </c>
      <c r="D470" s="1" t="n">
        <v>45880</v>
      </c>
      <c r="E470" s="1" t="n">
        <v>46312</v>
      </c>
      <c r="F470" t="inlineStr">
        <is>
          <t>VÄSTRA GÖTALANDS LÄN</t>
        </is>
      </c>
      <c r="G470" t="inlineStr">
        <is>
          <t>TANUM</t>
        </is>
      </c>
      <c r="I470" t="n">
        <v>1.8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s="2" t="inlineStr"/>
    </row>
    <row r="471" ht="15" customHeight="1">
      <c r="A471" t="inlineStr">
        <is>
          <t>A 10889-2025</t>
        </is>
      </c>
      <c r="B471" t="inlineStr">
        <is>
          <t>avverkningsanmälan</t>
        </is>
      </c>
      <c r="C471" t="inlineStr">
        <is>
          <t>Föryngringsavverkning</t>
        </is>
      </c>
      <c r="D471" s="1" t="n">
        <v>45722</v>
      </c>
      <c r="E471" s="1" t="n">
        <v>46312</v>
      </c>
      <c r="F471" t="inlineStr">
        <is>
          <t>VÄSTRA GÖTALANDS LÄN</t>
        </is>
      </c>
      <c r="G471" t="inlineStr">
        <is>
          <t>TANUM</t>
        </is>
      </c>
      <c r="I471" t="n">
        <v>4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s="2" t="inlineStr"/>
    </row>
    <row r="472" ht="15" customHeight="1">
      <c r="A472" t="inlineStr">
        <is>
          <t>S 714-2024</t>
        </is>
      </c>
      <c r="B472" t="inlineStr">
        <is>
          <t>samrådsanmälan</t>
        </is>
      </c>
      <c r="C472" t="inlineStr">
        <is>
          <t>Askåterföring</t>
        </is>
      </c>
      <c r="D472" s="1" t="n">
        <v>45362</v>
      </c>
      <c r="E472" s="1" t="n">
        <v>46312</v>
      </c>
      <c r="F472" t="inlineStr">
        <is>
          <t>VÄSTRA GÖTALANDS LÄN</t>
        </is>
      </c>
      <c r="G472" t="inlineStr">
        <is>
          <t>TANUM</t>
        </is>
      </c>
      <c r="I472" t="n">
        <v>35.7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s="2" t="inlineStr"/>
    </row>
    <row r="473" ht="15" customHeight="1">
      <c r="A473" t="inlineStr">
        <is>
          <t>S 422-2022</t>
        </is>
      </c>
      <c r="B473" t="inlineStr">
        <is>
          <t>samrådsanmälan</t>
        </is>
      </c>
      <c r="C473" t="inlineStr">
        <is>
          <t>Skogsbilväg</t>
        </is>
      </c>
      <c r="D473" s="1" t="n">
        <v>44586</v>
      </c>
      <c r="E473" s="1" t="n">
        <v>46312</v>
      </c>
      <c r="F473" t="inlineStr">
        <is>
          <t>VÄSTRA GÖTALANDS LÄN</t>
        </is>
      </c>
      <c r="G473" t="inlineStr">
        <is>
          <t>TANUM</t>
        </is>
      </c>
      <c r="I473" t="n">
        <v>1.7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s="2" t="inlineStr"/>
    </row>
    <row r="474" ht="15" customHeight="1">
      <c r="A474" t="inlineStr">
        <is>
          <t>S 1468-2022</t>
        </is>
      </c>
      <c r="B474" t="inlineStr">
        <is>
          <t>samrådsanmälan</t>
        </is>
      </c>
      <c r="C474" t="inlineStr">
        <is>
          <t>Skogsbilväg</t>
        </is>
      </c>
      <c r="D474" s="1" t="n">
        <v>44636</v>
      </c>
      <c r="E474" s="1" t="n">
        <v>46312</v>
      </c>
      <c r="F474" t="inlineStr">
        <is>
          <t>VÄSTRA GÖTALANDS LÄN</t>
        </is>
      </c>
      <c r="G474" t="inlineStr">
        <is>
          <t>TANUM</t>
        </is>
      </c>
      <c r="I474" t="n">
        <v>0.7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s="2" t="inlineStr"/>
    </row>
    <row r="475" ht="15" customHeight="1">
      <c r="A475" t="inlineStr">
        <is>
          <t>S 9009-2021</t>
        </is>
      </c>
      <c r="B475" t="inlineStr">
        <is>
          <t>samrådsanmälan</t>
        </is>
      </c>
      <c r="C475" t="inlineStr">
        <is>
          <t>Skogsbilväg</t>
        </is>
      </c>
      <c r="D475" s="1" t="n">
        <v>44509</v>
      </c>
      <c r="E475" s="1" t="n">
        <v>46312</v>
      </c>
      <c r="F475" t="inlineStr">
        <is>
          <t>VÄSTRA GÖTALANDS LÄN</t>
        </is>
      </c>
      <c r="G475" t="inlineStr">
        <is>
          <t>TANUM</t>
        </is>
      </c>
      <c r="I475" t="n">
        <v>0.9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s="2" t="inlineStr"/>
    </row>
    <row r="476" ht="15" customHeight="1">
      <c r="A476" t="inlineStr">
        <is>
          <t>S 3471-2023</t>
        </is>
      </c>
      <c r="B476" t="inlineStr">
        <is>
          <t>samrådsanmälan</t>
        </is>
      </c>
      <c r="C476" t="inlineStr">
        <is>
          <t>Annan skogsbruksåtgärd</t>
        </is>
      </c>
      <c r="D476" s="1" t="n">
        <v>45204</v>
      </c>
      <c r="E476" s="1" t="n">
        <v>46312</v>
      </c>
      <c r="F476" t="inlineStr">
        <is>
          <t>VÄSTRA GÖTALANDS LÄN</t>
        </is>
      </c>
      <c r="G476" t="inlineStr">
        <is>
          <t>TANUM</t>
        </is>
      </c>
      <c r="I476" t="n">
        <v>1.8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s="2" t="inlineStr"/>
    </row>
    <row r="477">
      <c r="A477" t="inlineStr">
        <is>
          <t>S 1128-2026</t>
        </is>
      </c>
      <c r="B477" t="inlineStr">
        <is>
          <t>samrådsanmälan</t>
        </is>
      </c>
      <c r="C477" t="inlineStr">
        <is>
          <t>Annan skogsbruksåtgärd</t>
        </is>
      </c>
      <c r="D477" s="1" t="n">
        <v>46133</v>
      </c>
      <c r="E477" s="1" t="n">
        <v>46312</v>
      </c>
      <c r="F477" t="inlineStr">
        <is>
          <t>VÄSTRA GÖTALANDS LÄN</t>
        </is>
      </c>
      <c r="G477" t="inlineStr">
        <is>
          <t>TANUM</t>
        </is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2026-10-17T02:06:05Z</dcterms:created>
  <dcterms:modified xmlns:dcterms="http://purl.org/dc/terms/" xmlns:xsi="http://www.w3.org/2001/XMLSchema-instance" xsi:type="dcterms:W3CDTF">2026-10-17T02:06:05Z</dcterms:modified>
</cp:coreProperties>
</file>