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24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46303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46303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46303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46303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46303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46303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46303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46303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46303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46303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46303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46303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46303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46303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46303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46303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46303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46303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46303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46303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46303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46303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46303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46303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46303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4208-2025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45685</v>
      </c>
      <c r="E35" s="1" t="n">
        <v>46303</v>
      </c>
      <c r="F35" t="inlineStr">
        <is>
          <t>VÄSTRA GÖTALANDS LÄN</t>
        </is>
      </c>
      <c r="G35" t="inlineStr">
        <is>
          <t>TANUM</t>
        </is>
      </c>
      <c r="I35" t="n">
        <v>19.3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HYPERLINK("https://klasma.github.io/Logging_1435/artfynd/A 4208-2025 artfynd.xlsx", "A 4208-2025")</f>
        <v/>
      </c>
      <c r="X35">
        <f>HYPERLINK("https://klasma.github.io/Logging_1435/kartor/A 4208-2025 karta.png", "A 4208-2025")</f>
        <v/>
      </c>
      <c r="Y35">
        <f>HYPERLINK("https://klasma.github.io/Logging_1435/kartor_geotiff/A 4208-2025 georefererad karta.tif", "A 4208-2025")</f>
        <v/>
      </c>
      <c r="AA35">
        <f>HYPERLINK("https://klasma.github.io/Logging_1435/klagomål/A 4208-2025 FSC-klagomål.docx", "A 4208-2025")</f>
        <v/>
      </c>
      <c r="AB35">
        <f>HYPERLINK("https://klasma.github.io/Logging_1435/klagomålsmail/A 4208-2025 FSC-klagomål mail.docx", "A 4208-2025")</f>
        <v/>
      </c>
      <c r="AC35">
        <f>HYPERLINK("https://klasma.github.io/Logging_1435/tillsyn/A 4208-2025 tillsynsbegäran.docx", "A 4208-2025")</f>
        <v/>
      </c>
      <c r="AD35">
        <f>HYPERLINK("https://klasma.github.io/Logging_1435/tillsynsmail/A 4208-2025 tillsynsbegäran mail.docx", "A 4208-2025")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46303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46303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23149-2025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46303</v>
      </c>
      <c r="F38" t="inlineStr">
        <is>
          <t>VÄSTRA GÖTALANDS LÄN</t>
        </is>
      </c>
      <c r="G38" t="inlineStr">
        <is>
          <t>TANUM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HYPERLINK("https://klasma.github.io/Logging_1435/artfynd/A 23149-2025 artfynd.xlsx", "A 23149-2025")</f>
        <v/>
      </c>
      <c r="X38">
        <f>HYPERLINK("https://klasma.github.io/Logging_1435/kartor/A 23149-2025 karta.png", "A 23149-2025")</f>
        <v/>
      </c>
      <c r="Y38">
        <f>HYPERLINK("https://klasma.github.io/Logging_1435/kartor_geotiff/A 23149-2025 georefererad karta.tif", "A 23149-2025")</f>
        <v/>
      </c>
      <c r="AA38">
        <f>HYPERLINK("https://klasma.github.io/Logging_1435/klagomål/A 23149-2025 FSC-klagomål.docx", "A 23149-2025")</f>
        <v/>
      </c>
      <c r="AB38">
        <f>HYPERLINK("https://klasma.github.io/Logging_1435/klagomålsmail/A 23149-2025 FSC-klagomål mail.docx", "A 23149-2025")</f>
        <v/>
      </c>
      <c r="AC38">
        <f>HYPERLINK("https://klasma.github.io/Logging_1435/tillsyn/A 23149-2025 tillsynsbegäran.docx", "A 23149-2025")</f>
        <v/>
      </c>
      <c r="AD38">
        <f>HYPERLINK("https://klasma.github.io/Logging_1435/tillsynsmail/A 23149-2025 tillsynsbegäran mail.docx", "A 23149-2025")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46303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Åkerkulla</t>
        </is>
      </c>
      <c r="W39">
        <f>HYPERLINK("https://klasma.github.io/Logging_1435/artfynd/A 39358-2025 artfynd.xlsx", "A 39358-2025")</f>
        <v/>
      </c>
      <c r="X39">
        <f>HYPERLINK("https://klasma.github.io/Logging_1435/kartor/A 39358-2025 karta.png", "A 39358-2025")</f>
        <v/>
      </c>
      <c r="Y39">
        <f>HYPERLINK("https://klasma.github.io/Logging_1435/kartor_geotiff/A 39358-2025 georefererad karta.tif", "A 39358-2025")</f>
        <v/>
      </c>
      <c r="AA39">
        <f>HYPERLINK("https://klasma.github.io/Logging_1435/klagomål/A 39358-2025 FSC-klagomål.docx", "A 39358-2025")</f>
        <v/>
      </c>
      <c r="AB39">
        <f>HYPERLINK("https://klasma.github.io/Logging_1435/klagomålsmail/A 39358-2025 FSC-klagomål mail.docx", "A 39358-2025")</f>
        <v/>
      </c>
      <c r="AC39">
        <f>HYPERLINK("https://klasma.github.io/Logging_1435/tillsyn/A 39358-2025 tillsynsbegäran.docx", "A 39358-2025")</f>
        <v/>
      </c>
      <c r="AD39">
        <f>HYPERLINK("https://klasma.github.io/Logging_1435/tillsynsmail/A 39358-2025 tillsynsbegäran mail.docx", "A 39358-2025")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46303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46303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46044-2023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46303</v>
      </c>
      <c r="F42" t="inlineStr">
        <is>
          <t>VÄSTRA GÖTALANDS LÄN</t>
        </is>
      </c>
      <c r="G42" t="inlineStr">
        <is>
          <t>TANUM</t>
        </is>
      </c>
      <c r="I42" t="n">
        <v>33.6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Korallblylav</t>
        </is>
      </c>
      <c r="W42">
        <f>HYPERLINK("https://klasma.github.io/Logging_1435/artfynd/A 46044-2023 artfynd.xlsx", "A 46044-2023")</f>
        <v/>
      </c>
      <c r="X42">
        <f>HYPERLINK("https://klasma.github.io/Logging_1435/kartor/A 46044-2023 karta.png", "A 46044-2023")</f>
        <v/>
      </c>
      <c r="Y42">
        <f>HYPERLINK("https://klasma.github.io/Logging_1435/kartor_geotiff/A 46044-2023 georefererad karta.tif", "A 46044-2023")</f>
        <v/>
      </c>
      <c r="AA42">
        <f>HYPERLINK("https://klasma.github.io/Logging_1435/klagomål/A 46044-2023 FSC-klagomål.docx", "A 46044-2023")</f>
        <v/>
      </c>
      <c r="AB42">
        <f>HYPERLINK("https://klasma.github.io/Logging_1435/klagomålsmail/A 46044-2023 FSC-klagomål mail.docx", "A 46044-2023")</f>
        <v/>
      </c>
      <c r="AC42">
        <f>HYPERLINK("https://klasma.github.io/Logging_1435/tillsyn/A 46044-2023 tillsynsbegäran.docx", "A 46044-2023")</f>
        <v/>
      </c>
      <c r="AD42">
        <f>HYPERLINK("https://klasma.github.io/Logging_1435/tillsynsmail/A 46044-2023 tillsynsbegäran mail.docx", "A 46044-2023")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46303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46303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46303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57566-2023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46303</v>
      </c>
      <c r="F46" t="inlineStr">
        <is>
          <t>VÄSTRA GÖTALANDS LÄN</t>
        </is>
      </c>
      <c r="G46" t="inlineStr">
        <is>
          <t>TANUM</t>
        </is>
      </c>
      <c r="I46" t="n">
        <v>1.5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HYPERLINK("https://klasma.github.io/Logging_1435/artfynd/A 57566-2023 artfynd.xlsx", "A 57566-2023")</f>
        <v/>
      </c>
      <c r="X46">
        <f>HYPERLINK("https://klasma.github.io/Logging_1435/kartor/A 57566-2023 karta.png", "A 57566-2023")</f>
        <v/>
      </c>
      <c r="Y46">
        <f>HYPERLINK("https://klasma.github.io/Logging_1435/kartor_geotiff/A 57566-2023 georefererad karta.tif", "A 57566-2023")</f>
        <v/>
      </c>
      <c r="AA46">
        <f>HYPERLINK("https://klasma.github.io/Logging_1435/klagomål/A 57566-2023 FSC-klagomål.docx", "A 57566-2023")</f>
        <v/>
      </c>
      <c r="AB46">
        <f>HYPERLINK("https://klasma.github.io/Logging_1435/klagomålsmail/A 57566-2023 FSC-klagomål mail.docx", "A 57566-2023")</f>
        <v/>
      </c>
      <c r="AC46">
        <f>HYPERLINK("https://klasma.github.io/Logging_1435/tillsyn/A 57566-2023 tillsynsbegäran.docx", "A 57566-2023")</f>
        <v/>
      </c>
      <c r="AD46">
        <f>HYPERLINK("https://klasma.github.io/Logging_1435/tillsynsmail/A 57566-2023 tillsynsbegäran mail.docx", "A 57566-2023")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46303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9698-2024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46303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Springkorn</t>
        </is>
      </c>
      <c r="W48">
        <f>HYPERLINK("https://klasma.github.io/Logging_1435/artfynd/A 9698-2024 artfynd.xlsx", "A 9698-2024")</f>
        <v/>
      </c>
      <c r="X48">
        <f>HYPERLINK("https://klasma.github.io/Logging_1435/kartor/A 9698-2024 karta.png", "A 9698-2024")</f>
        <v/>
      </c>
      <c r="Y48">
        <f>HYPERLINK("https://klasma.github.io/Logging_1435/kartor_geotiff/A 9698-2024 georefererad karta.tif", "A 9698-2024")</f>
        <v/>
      </c>
      <c r="AA48">
        <f>HYPERLINK("https://klasma.github.io/Logging_1435/klagomål/A 9698-2024 FSC-klagomål.docx", "A 9698-2024")</f>
        <v/>
      </c>
      <c r="AB48">
        <f>HYPERLINK("https://klasma.github.io/Logging_1435/klagomålsmail/A 9698-2024 FSC-klagomål mail.docx", "A 9698-2024")</f>
        <v/>
      </c>
      <c r="AC48">
        <f>HYPERLINK("https://klasma.github.io/Logging_1435/tillsyn/A 9698-2024 tillsynsbegäran.docx", "A 9698-2024")</f>
        <v/>
      </c>
      <c r="AD48">
        <f>HYPERLINK("https://klasma.github.io/Logging_1435/tillsynsmail/A 9698-2024 tillsynsbegäran mail.docx", "A 9698-2024")</f>
        <v/>
      </c>
    </row>
    <row r="49" ht="15" customHeight="1">
      <c r="A49" t="inlineStr">
        <is>
          <t>A 19343-2025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46303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Spindelblomster</t>
        </is>
      </c>
      <c r="W49">
        <f>HYPERLINK("https://klasma.github.io/Logging_1435/artfynd/A 19343-2025 artfynd.xlsx", "A 19343-2025")</f>
        <v/>
      </c>
      <c r="X49">
        <f>HYPERLINK("https://klasma.github.io/Logging_1435/kartor/A 19343-2025 karta.png", "A 19343-2025")</f>
        <v/>
      </c>
      <c r="Y49">
        <f>HYPERLINK("https://klasma.github.io/Logging_1435/kartor_geotiff/A 19343-2025 georefererad karta.tif", "A 19343-2025")</f>
        <v/>
      </c>
      <c r="AA49">
        <f>HYPERLINK("https://klasma.github.io/Logging_1435/klagomål/A 19343-2025 FSC-klagomål.docx", "A 19343-2025")</f>
        <v/>
      </c>
      <c r="AB49">
        <f>HYPERLINK("https://klasma.github.io/Logging_1435/klagomålsmail/A 19343-2025 FSC-klagomål mail.docx", "A 19343-2025")</f>
        <v/>
      </c>
      <c r="AC49">
        <f>HYPERLINK("https://klasma.github.io/Logging_1435/tillsyn/A 19343-2025 tillsynsbegäran.docx", "A 19343-2025")</f>
        <v/>
      </c>
      <c r="AD49">
        <f>HYPERLINK("https://klasma.github.io/Logging_1435/tillsynsmail/A 19343-2025 tillsynsbegäran mail.docx", "A 19343-2025")</f>
        <v/>
      </c>
    </row>
    <row r="50" ht="15" customHeight="1">
      <c r="A50" t="inlineStr">
        <is>
          <t>A 9276-2026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46303</v>
      </c>
      <c r="F50" t="inlineStr">
        <is>
          <t>VÄSTRA GÖTALANDS LÄN</t>
        </is>
      </c>
      <c r="G50" t="inlineStr">
        <is>
          <t>TANUM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Svinrot</t>
        </is>
      </c>
      <c r="W50">
        <f>HYPERLINK("https://klasma.github.io/Logging_1435/artfynd/A 9276-2026 artfynd.xlsx", "A 9276-2026")</f>
        <v/>
      </c>
      <c r="X50">
        <f>HYPERLINK("https://klasma.github.io/Logging_1435/kartor/A 9276-2026 karta.png", "A 9276-2026")</f>
        <v/>
      </c>
      <c r="Y50">
        <f>HYPERLINK("https://klasma.github.io/Logging_1435/kartor_geotiff/A 9276-2026 georefererad karta.tif", "A 9276-2026")</f>
        <v/>
      </c>
      <c r="AA50">
        <f>HYPERLINK("https://klasma.github.io/Logging_1435/klagomål/A 9276-2026 FSC-klagomål.docx", "A 9276-2026")</f>
        <v/>
      </c>
      <c r="AB50">
        <f>HYPERLINK("https://klasma.github.io/Logging_1435/klagomålsmail/A 9276-2026 FSC-klagomål mail.docx", "A 9276-2026")</f>
        <v/>
      </c>
      <c r="AC50">
        <f>HYPERLINK("https://klasma.github.io/Logging_1435/tillsyn/A 9276-2026 tillsynsbegäran.docx", "A 9276-2026")</f>
        <v/>
      </c>
      <c r="AD50">
        <f>HYPERLINK("https://klasma.github.io/Logging_1435/tillsynsmail/A 9276-2026 tillsynsbegäran mail.docx", "A 9276-2026")</f>
        <v/>
      </c>
    </row>
    <row r="51" ht="15" customHeight="1">
      <c r="A51" t="inlineStr">
        <is>
          <t>A 14821-2026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46103</v>
      </c>
      <c r="E51" s="1" t="n">
        <v>46303</v>
      </c>
      <c r="F51" t="inlineStr">
        <is>
          <t>VÄSTRA GÖTALANDS LÄN</t>
        </is>
      </c>
      <c r="G51" t="inlineStr">
        <is>
          <t>TANUM</t>
        </is>
      </c>
      <c r="I51" t="n">
        <v>2.9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HYPERLINK("https://klasma.github.io/Logging_1435/artfynd/A 14821-2026 artfynd.xlsx", "A 14821-2026")</f>
        <v/>
      </c>
      <c r="X51">
        <f>HYPERLINK("https://klasma.github.io/Logging_1435/kartor/A 14821-2026 karta.png", "A 14821-2026")</f>
        <v/>
      </c>
      <c r="Y51">
        <f>HYPERLINK("https://klasma.github.io/Logging_1435/kartor_geotiff/A 14821-2026 georefererad karta.tif", "A 14821-2026")</f>
        <v/>
      </c>
      <c r="Z51">
        <f>HYPERLINK("https://klasma.github.io/Logging_1435/knärot/A 14821-2026 karta knärot.png", "A 14821-2026")</f>
        <v/>
      </c>
      <c r="AA51">
        <f>HYPERLINK("https://klasma.github.io/Logging_1435/klagomål/A 14821-2026 FSC-klagomål.docx", "A 14821-2026")</f>
        <v/>
      </c>
      <c r="AB51">
        <f>HYPERLINK("https://klasma.github.io/Logging_1435/klagomålsmail/A 14821-2026 FSC-klagomål mail.docx", "A 14821-2026")</f>
        <v/>
      </c>
      <c r="AC51">
        <f>HYPERLINK("https://klasma.github.io/Logging_1435/tillsyn/A 14821-2026 tillsynsbegäran.docx", "A 14821-2026")</f>
        <v/>
      </c>
      <c r="AD51">
        <f>HYPERLINK("https://klasma.github.io/Logging_1435/tillsynsmail/A 14821-2026 tillsynsbegäran mail.docx", "A 14821-2026")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46303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46303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46303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46303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46303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46303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46303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46303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46303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46303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46303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46303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46303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46303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46303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46303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46303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46303</v>
      </c>
      <c r="F69" t="inlineStr">
        <is>
          <t>VÄSTRA GÖTALANDS LÄN</t>
        </is>
      </c>
      <c r="G69" t="inlineStr">
        <is>
          <t>TANUM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46303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46303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44563</v>
      </c>
      <c r="E72" s="1" t="n">
        <v>46303</v>
      </c>
      <c r="F72" t="inlineStr">
        <is>
          <t>VÄSTRA GÖTALANDS LÄN</t>
        </is>
      </c>
      <c r="G72" t="inlineStr">
        <is>
          <t>TANUM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46303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46303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46303</v>
      </c>
      <c r="F75" t="inlineStr">
        <is>
          <t>VÄSTRA GÖTALANDS LÄN</t>
        </is>
      </c>
      <c r="G75" t="inlineStr">
        <is>
          <t>TANUM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46303</v>
      </c>
      <c r="F76" t="inlineStr">
        <is>
          <t>VÄSTRA GÖTALANDS LÄN</t>
        </is>
      </c>
      <c r="G76" t="inlineStr">
        <is>
          <t>TANUM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46303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46303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46303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46303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16480-2023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45026</v>
      </c>
      <c r="E81" s="1" t="n">
        <v>46303</v>
      </c>
      <c r="F81" t="inlineStr">
        <is>
          <t>VÄSTRA GÖTALANDS LÄN</t>
        </is>
      </c>
      <c r="G81" t="inlineStr">
        <is>
          <t>TANUM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46303</v>
      </c>
      <c r="F82" t="inlineStr">
        <is>
          <t>VÄSTRA GÖTALANDS LÄN</t>
        </is>
      </c>
      <c r="G82" t="inlineStr">
        <is>
          <t>TANUM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46303</v>
      </c>
      <c r="F83" t="inlineStr">
        <is>
          <t>VÄSTRA GÖTALANDS LÄN</t>
        </is>
      </c>
      <c r="G83" t="inlineStr">
        <is>
          <t>TANUM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46303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44832</v>
      </c>
      <c r="E85" s="1" t="n">
        <v>46303</v>
      </c>
      <c r="F85" t="inlineStr">
        <is>
          <t>VÄSTRA GÖTALANDS LÄN</t>
        </is>
      </c>
      <c r="G85" t="inlineStr">
        <is>
          <t>TANUM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46303</v>
      </c>
      <c r="F86" t="inlineStr">
        <is>
          <t>VÄSTRA GÖTALANDS LÄN</t>
        </is>
      </c>
      <c r="G86" t="inlineStr">
        <is>
          <t>TANUM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46303</v>
      </c>
      <c r="F87" t="inlineStr">
        <is>
          <t>VÄSTRA GÖTALANDS LÄN</t>
        </is>
      </c>
      <c r="G87" t="inlineStr">
        <is>
          <t>TANUM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46303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46303</v>
      </c>
      <c r="F89" t="inlineStr">
        <is>
          <t>VÄSTRA GÖTALANDS LÄN</t>
        </is>
      </c>
      <c r="G89" t="inlineStr">
        <is>
          <t>TANUM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44807</v>
      </c>
      <c r="E90" s="1" t="n">
        <v>46303</v>
      </c>
      <c r="F90" t="inlineStr">
        <is>
          <t>VÄSTRA GÖTALANDS LÄN</t>
        </is>
      </c>
      <c r="G90" t="inlineStr">
        <is>
          <t>TANUM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46303</v>
      </c>
      <c r="F91" t="inlineStr">
        <is>
          <t>VÄSTRA GÖTALANDS LÄN</t>
        </is>
      </c>
      <c r="G91" t="inlineStr">
        <is>
          <t>TANUM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46303</v>
      </c>
      <c r="F92" t="inlineStr">
        <is>
          <t>VÄSTRA GÖTALANDS LÄN</t>
        </is>
      </c>
      <c r="G92" t="inlineStr">
        <is>
          <t>TANUM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46303</v>
      </c>
      <c r="F93" t="inlineStr">
        <is>
          <t>VÄSTRA GÖTALANDS LÄN</t>
        </is>
      </c>
      <c r="G93" t="inlineStr">
        <is>
          <t>TANUM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46303</v>
      </c>
      <c r="F94" t="inlineStr">
        <is>
          <t>VÄSTRA GÖTALANDS LÄN</t>
        </is>
      </c>
      <c r="G94" t="inlineStr">
        <is>
          <t>TANUM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24100-2022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44725</v>
      </c>
      <c r="E95" s="1" t="n">
        <v>46303</v>
      </c>
      <c r="F95" t="inlineStr">
        <is>
          <t>VÄSTRA GÖTALANDS LÄN</t>
        </is>
      </c>
      <c r="G95" t="inlineStr">
        <is>
          <t>TANUM</t>
        </is>
      </c>
      <c r="I95" t="n">
        <v>10.7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45739</v>
      </c>
      <c r="E96" s="1" t="n">
        <v>46303</v>
      </c>
      <c r="F96" t="inlineStr">
        <is>
          <t>VÄSTRA GÖTALANDS LÄN</t>
        </is>
      </c>
      <c r="G96" t="inlineStr">
        <is>
          <t>TANUM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46303</v>
      </c>
      <c r="F97" t="inlineStr">
        <is>
          <t>VÄSTRA GÖTALANDS LÄN</t>
        </is>
      </c>
      <c r="G97" t="inlineStr">
        <is>
          <t>TANUM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46303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46303</v>
      </c>
      <c r="F99" t="inlineStr">
        <is>
          <t>VÄSTRA GÖTALANDS LÄN</t>
        </is>
      </c>
      <c r="G99" t="inlineStr">
        <is>
          <t>TANUM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46303</v>
      </c>
      <c r="F100" t="inlineStr">
        <is>
          <t>VÄSTRA GÖTALANDS LÄN</t>
        </is>
      </c>
      <c r="G100" t="inlineStr">
        <is>
          <t>TANUM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46303</v>
      </c>
      <c r="F101" t="inlineStr">
        <is>
          <t>VÄSTRA GÖTALANDS LÄN</t>
        </is>
      </c>
      <c r="G101" t="inlineStr">
        <is>
          <t>TANUM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45515</v>
      </c>
      <c r="E102" s="1" t="n">
        <v>46303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46303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46303</v>
      </c>
      <c r="F104" t="inlineStr">
        <is>
          <t>VÄSTRA GÖTALANDS LÄN</t>
        </is>
      </c>
      <c r="G104" t="inlineStr">
        <is>
          <t>TANUM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44862</v>
      </c>
      <c r="E105" s="1" t="n">
        <v>46303</v>
      </c>
      <c r="F105" t="inlineStr">
        <is>
          <t>VÄSTRA GÖTALANDS LÄN</t>
        </is>
      </c>
      <c r="G105" t="inlineStr">
        <is>
          <t>TANUM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46303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46303</v>
      </c>
      <c r="F107" t="inlineStr">
        <is>
          <t>VÄSTRA GÖTALANDS LÄN</t>
        </is>
      </c>
      <c r="G107" t="inlineStr">
        <is>
          <t>TANUM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45374</v>
      </c>
      <c r="E108" s="1" t="n">
        <v>46303</v>
      </c>
      <c r="F108" t="inlineStr">
        <is>
          <t>VÄSTRA GÖTALANDS LÄN</t>
        </is>
      </c>
      <c r="G108" t="inlineStr">
        <is>
          <t>TANUM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46303</v>
      </c>
      <c r="F109" t="inlineStr">
        <is>
          <t>VÄSTRA GÖTALANDS LÄN</t>
        </is>
      </c>
      <c r="G109" t="inlineStr">
        <is>
          <t>TANUM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46303</v>
      </c>
      <c r="F110" t="inlineStr">
        <is>
          <t>VÄSTRA GÖTALANDS LÄN</t>
        </is>
      </c>
      <c r="G110" t="inlineStr">
        <is>
          <t>TANUM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45698</v>
      </c>
      <c r="E111" s="1" t="n">
        <v>46303</v>
      </c>
      <c r="F111" t="inlineStr">
        <is>
          <t>VÄSTRA GÖTALANDS LÄN</t>
        </is>
      </c>
      <c r="G111" t="inlineStr">
        <is>
          <t>TANUM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15217-2025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46303</v>
      </c>
      <c r="F112" t="inlineStr">
        <is>
          <t>VÄSTRA GÖTALANDS LÄN</t>
        </is>
      </c>
      <c r="G112" t="inlineStr">
        <is>
          <t>TANUM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46303</v>
      </c>
      <c r="F113" t="inlineStr">
        <is>
          <t>VÄSTRA GÖTALANDS LÄN</t>
        </is>
      </c>
      <c r="G113" t="inlineStr">
        <is>
          <t>TANUM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46303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59070-2023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46303</v>
      </c>
      <c r="F115" t="inlineStr">
        <is>
          <t>VÄSTRA GÖTALANDS LÄN</t>
        </is>
      </c>
      <c r="G115" t="inlineStr">
        <is>
          <t>TANUM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44585</v>
      </c>
      <c r="E116" s="1" t="n">
        <v>46303</v>
      </c>
      <c r="F116" t="inlineStr">
        <is>
          <t>VÄSTRA GÖTALANDS LÄN</t>
        </is>
      </c>
      <c r="G116" t="inlineStr">
        <is>
          <t>TANUM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46303</v>
      </c>
      <c r="F117" t="inlineStr">
        <is>
          <t>VÄSTRA GÖTALANDS LÄN</t>
        </is>
      </c>
      <c r="G117" t="inlineStr">
        <is>
          <t>TANUM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46303</v>
      </c>
      <c r="F118" t="inlineStr">
        <is>
          <t>VÄSTRA GÖTALANDS LÄN</t>
        </is>
      </c>
      <c r="G118" t="inlineStr">
        <is>
          <t>TANUM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21751-2023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46303</v>
      </c>
      <c r="F119" t="inlineStr">
        <is>
          <t>VÄSTRA GÖTALANDS LÄN</t>
        </is>
      </c>
      <c r="G119" t="inlineStr">
        <is>
          <t>TANUM</t>
        </is>
      </c>
      <c r="H119" t="inlineStr">
        <is>
          <t>Kyrkan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51812-2022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46303</v>
      </c>
      <c r="F120" t="inlineStr">
        <is>
          <t>VÄSTRA GÖTALANDS LÄN</t>
        </is>
      </c>
      <c r="G120" t="inlineStr">
        <is>
          <t>TANUM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46303</v>
      </c>
      <c r="F121" t="inlineStr">
        <is>
          <t>VÄSTRA GÖTALANDS LÄN</t>
        </is>
      </c>
      <c r="G121" t="inlineStr">
        <is>
          <t>TANUM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46303</v>
      </c>
      <c r="F122" t="inlineStr">
        <is>
          <t>VÄSTRA GÖTALANDS LÄN</t>
        </is>
      </c>
      <c r="G122" t="inlineStr">
        <is>
          <t>TANUM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46303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46303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44846</v>
      </c>
      <c r="E125" s="1" t="n">
        <v>46303</v>
      </c>
      <c r="F125" t="inlineStr">
        <is>
          <t>VÄSTRA GÖTALANDS LÄN</t>
        </is>
      </c>
      <c r="G125" t="inlineStr">
        <is>
          <t>TANUM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46303</v>
      </c>
      <c r="F126" t="inlineStr">
        <is>
          <t>VÄSTRA GÖTALANDS LÄN</t>
        </is>
      </c>
      <c r="G126" t="inlineStr">
        <is>
          <t>TANUM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45722</v>
      </c>
      <c r="E127" s="1" t="n">
        <v>46303</v>
      </c>
      <c r="F127" t="inlineStr">
        <is>
          <t>VÄSTRA GÖTALANDS LÄN</t>
        </is>
      </c>
      <c r="G127" t="inlineStr">
        <is>
          <t>TANUM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46303</v>
      </c>
      <c r="F128" t="inlineStr">
        <is>
          <t>VÄSTRA GÖTALANDS LÄN</t>
        </is>
      </c>
      <c r="G128" t="inlineStr">
        <is>
          <t>TANUM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45450</v>
      </c>
      <c r="E129" s="1" t="n">
        <v>46303</v>
      </c>
      <c r="F129" t="inlineStr">
        <is>
          <t>VÄSTRA GÖTALANDS LÄN</t>
        </is>
      </c>
      <c r="G129" t="inlineStr">
        <is>
          <t>TANUM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46303</v>
      </c>
      <c r="F130" t="inlineStr">
        <is>
          <t>VÄSTRA GÖTALANDS LÄN</t>
        </is>
      </c>
      <c r="G130" t="inlineStr">
        <is>
          <t>TANUM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46303</v>
      </c>
      <c r="F131" t="inlineStr">
        <is>
          <t>VÄSTRA GÖTALANDS LÄN</t>
        </is>
      </c>
      <c r="G131" t="inlineStr">
        <is>
          <t>TANUM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46303</v>
      </c>
      <c r="F132" t="inlineStr">
        <is>
          <t>VÄSTRA GÖTALANDS LÄN</t>
        </is>
      </c>
      <c r="G132" t="inlineStr">
        <is>
          <t>TANUM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46303</v>
      </c>
      <c r="F133" t="inlineStr">
        <is>
          <t>VÄSTRA GÖTALANDS LÄN</t>
        </is>
      </c>
      <c r="G133" t="inlineStr">
        <is>
          <t>TANUM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46303</v>
      </c>
      <c r="F134" t="inlineStr">
        <is>
          <t>VÄSTRA GÖTALANDS LÄN</t>
        </is>
      </c>
      <c r="G134" t="inlineStr">
        <is>
          <t>TANUM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46303</v>
      </c>
      <c r="F135" t="inlineStr">
        <is>
          <t>VÄSTRA GÖTALANDS LÄN</t>
        </is>
      </c>
      <c r="G135" t="inlineStr">
        <is>
          <t>TANUM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46303</v>
      </c>
      <c r="F136" t="inlineStr">
        <is>
          <t>VÄSTRA GÖTALANDS LÄN</t>
        </is>
      </c>
      <c r="G136" t="inlineStr">
        <is>
          <t>TANUM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46303</v>
      </c>
      <c r="F137" t="inlineStr">
        <is>
          <t>VÄSTRA GÖTALANDS LÄN</t>
        </is>
      </c>
      <c r="G137" t="inlineStr">
        <is>
          <t>TANUM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46303</v>
      </c>
      <c r="F138" t="inlineStr">
        <is>
          <t>VÄSTRA GÖTALANDS LÄN</t>
        </is>
      </c>
      <c r="G138" t="inlineStr">
        <is>
          <t>TANUM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46303</v>
      </c>
      <c r="F139" t="inlineStr">
        <is>
          <t>VÄSTRA GÖTALANDS LÄN</t>
        </is>
      </c>
      <c r="G139" t="inlineStr">
        <is>
          <t>TANUM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45301</v>
      </c>
      <c r="E140" s="1" t="n">
        <v>46303</v>
      </c>
      <c r="F140" t="inlineStr">
        <is>
          <t>VÄSTRA GÖTALANDS LÄN</t>
        </is>
      </c>
      <c r="G140" t="inlineStr">
        <is>
          <t>TANUM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45551</v>
      </c>
      <c r="E141" s="1" t="n">
        <v>46303</v>
      </c>
      <c r="F141" t="inlineStr">
        <is>
          <t>VÄSTRA GÖTALANDS LÄN</t>
        </is>
      </c>
      <c r="G141" t="inlineStr">
        <is>
          <t>TANUM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46303</v>
      </c>
      <c r="F142" t="inlineStr">
        <is>
          <t>VÄSTRA GÖTALANDS LÄN</t>
        </is>
      </c>
      <c r="G142" t="inlineStr">
        <is>
          <t>TANUM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45392</v>
      </c>
      <c r="E143" s="1" t="n">
        <v>46303</v>
      </c>
      <c r="F143" t="inlineStr">
        <is>
          <t>VÄSTRA GÖTALANDS LÄN</t>
        </is>
      </c>
      <c r="G143" t="inlineStr">
        <is>
          <t>TANUM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46303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46303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46303</v>
      </c>
      <c r="F146" t="inlineStr">
        <is>
          <t>VÄSTRA GÖTALANDS LÄN</t>
        </is>
      </c>
      <c r="G146" t="inlineStr">
        <is>
          <t>TANUM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46303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46303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46303</v>
      </c>
      <c r="F149" t="inlineStr">
        <is>
          <t>VÄSTRA GÖTALANDS LÄN</t>
        </is>
      </c>
      <c r="G149" t="inlineStr">
        <is>
          <t>TANUM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45259</v>
      </c>
      <c r="E150" s="1" t="n">
        <v>46303</v>
      </c>
      <c r="F150" t="inlineStr">
        <is>
          <t>VÄSTRA GÖTALANDS LÄN</t>
        </is>
      </c>
      <c r="G150" t="inlineStr">
        <is>
          <t>TANUM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46303</v>
      </c>
      <c r="F151" t="inlineStr">
        <is>
          <t>VÄSTRA GÖTALANDS LÄN</t>
        </is>
      </c>
      <c r="G151" t="inlineStr">
        <is>
          <t>TANUM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46303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46303</v>
      </c>
      <c r="F153" t="inlineStr">
        <is>
          <t>VÄSTRA GÖTALANDS LÄN</t>
        </is>
      </c>
      <c r="G153" t="inlineStr">
        <is>
          <t>TANUM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46303</v>
      </c>
      <c r="F154" t="inlineStr">
        <is>
          <t>VÄSTRA GÖTALANDS LÄN</t>
        </is>
      </c>
      <c r="G154" t="inlineStr">
        <is>
          <t>TANUM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46303</v>
      </c>
      <c r="F155" t="inlineStr">
        <is>
          <t>VÄSTRA GÖTALANDS LÄN</t>
        </is>
      </c>
      <c r="G155" t="inlineStr">
        <is>
          <t>TANUM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46303</v>
      </c>
      <c r="F156" t="inlineStr">
        <is>
          <t>VÄSTRA GÖTALANDS LÄN</t>
        </is>
      </c>
      <c r="G156" t="inlineStr">
        <is>
          <t>TANUM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46303</v>
      </c>
      <c r="F157" t="inlineStr">
        <is>
          <t>VÄSTRA GÖTALANDS LÄN</t>
        </is>
      </c>
      <c r="G157" t="inlineStr">
        <is>
          <t>TANUM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46303</v>
      </c>
      <c r="F158" t="inlineStr">
        <is>
          <t>VÄSTRA GÖTALANDS LÄN</t>
        </is>
      </c>
      <c r="G158" t="inlineStr">
        <is>
          <t>TANUM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46303</v>
      </c>
      <c r="F159" t="inlineStr">
        <is>
          <t>VÄSTRA GÖTALANDS LÄN</t>
        </is>
      </c>
      <c r="G159" t="inlineStr">
        <is>
          <t>TANUM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46303</v>
      </c>
      <c r="F160" t="inlineStr">
        <is>
          <t>VÄSTRA GÖTALANDS LÄN</t>
        </is>
      </c>
      <c r="G160" t="inlineStr">
        <is>
          <t>TANUM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46303</v>
      </c>
      <c r="F161" t="inlineStr">
        <is>
          <t>VÄSTRA GÖTALANDS LÄN</t>
        </is>
      </c>
      <c r="G161" t="inlineStr">
        <is>
          <t>TANUM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45293</v>
      </c>
      <c r="E162" s="1" t="n">
        <v>46303</v>
      </c>
      <c r="F162" t="inlineStr">
        <is>
          <t>VÄSTRA GÖTALANDS LÄN</t>
        </is>
      </c>
      <c r="G162" t="inlineStr">
        <is>
          <t>TANUM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46303</v>
      </c>
      <c r="F163" t="inlineStr">
        <is>
          <t>VÄSTRA GÖTALANDS LÄN</t>
        </is>
      </c>
      <c r="G163" t="inlineStr">
        <is>
          <t>TANUM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46303</v>
      </c>
      <c r="F164" t="inlineStr">
        <is>
          <t>VÄSTRA GÖTALANDS LÄN</t>
        </is>
      </c>
      <c r="G164" t="inlineStr">
        <is>
          <t>TANUM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46303</v>
      </c>
      <c r="F165" t="inlineStr">
        <is>
          <t>VÄSTRA GÖTALANDS LÄN</t>
        </is>
      </c>
      <c r="G165" t="inlineStr">
        <is>
          <t>TANUM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46303</v>
      </c>
      <c r="F166" t="inlineStr">
        <is>
          <t>VÄSTRA GÖTALANDS LÄN</t>
        </is>
      </c>
      <c r="G166" t="inlineStr">
        <is>
          <t>TANUM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46303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45753</v>
      </c>
      <c r="E168" s="1" t="n">
        <v>46303</v>
      </c>
      <c r="F168" t="inlineStr">
        <is>
          <t>VÄSTRA GÖTALANDS LÄN</t>
        </is>
      </c>
      <c r="G168" t="inlineStr">
        <is>
          <t>TANUM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46303</v>
      </c>
      <c r="F169" t="inlineStr">
        <is>
          <t>VÄSTRA GÖTALANDS LÄN</t>
        </is>
      </c>
      <c r="G169" t="inlineStr">
        <is>
          <t>TANUM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46303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46303</v>
      </c>
      <c r="F171" t="inlineStr">
        <is>
          <t>VÄSTRA GÖTALANDS LÄN</t>
        </is>
      </c>
      <c r="G171" t="inlineStr">
        <is>
          <t>TANUM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46303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46303</v>
      </c>
      <c r="F173" t="inlineStr">
        <is>
          <t>VÄSTRA GÖTALANDS LÄN</t>
        </is>
      </c>
      <c r="G173" t="inlineStr">
        <is>
          <t>TANUM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46303</v>
      </c>
      <c r="F174" t="inlineStr">
        <is>
          <t>VÄSTRA GÖTALANDS LÄN</t>
        </is>
      </c>
      <c r="G174" t="inlineStr">
        <is>
          <t>TANUM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46303</v>
      </c>
      <c r="F175" t="inlineStr">
        <is>
          <t>VÄSTRA GÖTALANDS LÄN</t>
        </is>
      </c>
      <c r="G175" t="inlineStr">
        <is>
          <t>TANUM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46303</v>
      </c>
      <c r="F176" t="inlineStr">
        <is>
          <t>VÄSTRA GÖTALANDS LÄN</t>
        </is>
      </c>
      <c r="G176" t="inlineStr">
        <is>
          <t>TANUM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46303</v>
      </c>
      <c r="F177" t="inlineStr">
        <is>
          <t>VÄSTRA GÖTALANDS LÄN</t>
        </is>
      </c>
      <c r="G177" t="inlineStr">
        <is>
          <t>TANUM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46303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72223-2021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44544</v>
      </c>
      <c r="E179" s="1" t="n">
        <v>46303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46303</v>
      </c>
      <c r="F180" t="inlineStr">
        <is>
          <t>VÄSTRA GÖTALANDS LÄN</t>
        </is>
      </c>
      <c r="G180" t="inlineStr">
        <is>
          <t>TANUM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46303</v>
      </c>
      <c r="F181" t="inlineStr">
        <is>
          <t>VÄSTRA GÖTALANDS LÄN</t>
        </is>
      </c>
      <c r="G181" t="inlineStr">
        <is>
          <t>TANUM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46303</v>
      </c>
      <c r="F182" t="inlineStr">
        <is>
          <t>VÄSTRA GÖTALANDS LÄN</t>
        </is>
      </c>
      <c r="G182" t="inlineStr">
        <is>
          <t>TANUM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46303</v>
      </c>
      <c r="F183" t="inlineStr">
        <is>
          <t>VÄSTRA GÖTALANDS LÄN</t>
        </is>
      </c>
      <c r="G183" t="inlineStr">
        <is>
          <t>TANUM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46303</v>
      </c>
      <c r="F184" t="inlineStr">
        <is>
          <t>VÄSTRA GÖTALANDS LÄN</t>
        </is>
      </c>
      <c r="G184" t="inlineStr">
        <is>
          <t>TANUM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46303</v>
      </c>
      <c r="F185" t="inlineStr">
        <is>
          <t>VÄSTRA GÖTALANDS LÄN</t>
        </is>
      </c>
      <c r="G185" t="inlineStr">
        <is>
          <t>TANUM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46303</v>
      </c>
      <c r="F186" t="inlineStr">
        <is>
          <t>VÄSTRA GÖTALANDS LÄN</t>
        </is>
      </c>
      <c r="G186" t="inlineStr">
        <is>
          <t>TANUM</t>
        </is>
      </c>
      <c r="H186" t="inlineStr">
        <is>
          <t>Kommuner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46303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Kommuner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46303</v>
      </c>
      <c r="F188" t="inlineStr">
        <is>
          <t>VÄSTRA GÖTALANDS LÄN</t>
        </is>
      </c>
      <c r="G188" t="inlineStr">
        <is>
          <t>TANUM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46303</v>
      </c>
      <c r="F189" t="inlineStr">
        <is>
          <t>VÄSTRA GÖTALANDS LÄN</t>
        </is>
      </c>
      <c r="G189" t="inlineStr">
        <is>
          <t>TANUM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46303</v>
      </c>
      <c r="F190" t="inlineStr">
        <is>
          <t>VÄSTRA GÖTALANDS LÄN</t>
        </is>
      </c>
      <c r="G190" t="inlineStr">
        <is>
          <t>TANUM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46303</v>
      </c>
      <c r="F191" t="inlineStr">
        <is>
          <t>VÄSTRA GÖTALANDS LÄN</t>
        </is>
      </c>
      <c r="G191" t="inlineStr">
        <is>
          <t>TANUM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45927</v>
      </c>
      <c r="E192" s="1" t="n">
        <v>46303</v>
      </c>
      <c r="F192" t="inlineStr">
        <is>
          <t>VÄSTRA GÖTALANDS LÄN</t>
        </is>
      </c>
      <c r="G192" t="inlineStr">
        <is>
          <t>TANUM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45384</v>
      </c>
      <c r="E193" s="1" t="n">
        <v>46303</v>
      </c>
      <c r="F193" t="inlineStr">
        <is>
          <t>VÄSTRA GÖTALANDS LÄN</t>
        </is>
      </c>
      <c r="G193" t="inlineStr">
        <is>
          <t>TANUM</t>
        </is>
      </c>
      <c r="I193" t="n">
        <v>10.7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45384</v>
      </c>
      <c r="E194" s="1" t="n">
        <v>46303</v>
      </c>
      <c r="F194" t="inlineStr">
        <is>
          <t>VÄSTRA GÖTALANDS LÄN</t>
        </is>
      </c>
      <c r="G194" t="inlineStr">
        <is>
          <t>TANUM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46303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46303</v>
      </c>
      <c r="F196" t="inlineStr">
        <is>
          <t>VÄSTRA GÖTALANDS LÄN</t>
        </is>
      </c>
      <c r="G196" t="inlineStr">
        <is>
          <t>TANUM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46303</v>
      </c>
      <c r="F197" t="inlineStr">
        <is>
          <t>VÄSTRA GÖTALANDS LÄN</t>
        </is>
      </c>
      <c r="G197" t="inlineStr">
        <is>
          <t>TANUM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46303</v>
      </c>
      <c r="F198" t="inlineStr">
        <is>
          <t>VÄSTRA GÖTALANDS LÄN</t>
        </is>
      </c>
      <c r="G198" t="inlineStr">
        <is>
          <t>TANUM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46303</v>
      </c>
      <c r="F199" t="inlineStr">
        <is>
          <t>VÄSTRA GÖTALANDS LÄN</t>
        </is>
      </c>
      <c r="G199" t="inlineStr">
        <is>
          <t>TANUM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46303</v>
      </c>
      <c r="F200" t="inlineStr">
        <is>
          <t>VÄSTRA GÖTALANDS LÄN</t>
        </is>
      </c>
      <c r="G200" t="inlineStr">
        <is>
          <t>TANUM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45698</v>
      </c>
      <c r="E201" s="1" t="n">
        <v>46303</v>
      </c>
      <c r="F201" t="inlineStr">
        <is>
          <t>VÄSTRA GÖTALANDS LÄN</t>
        </is>
      </c>
      <c r="G201" t="inlineStr">
        <is>
          <t>TANUM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45935</v>
      </c>
      <c r="E202" s="1" t="n">
        <v>46303</v>
      </c>
      <c r="F202" t="inlineStr">
        <is>
          <t>VÄSTRA GÖTALANDS LÄN</t>
        </is>
      </c>
      <c r="G202" t="inlineStr">
        <is>
          <t>TANUM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46303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45566</v>
      </c>
      <c r="E204" s="1" t="n">
        <v>46303</v>
      </c>
      <c r="F204" t="inlineStr">
        <is>
          <t>VÄSTRA GÖTALANDS LÄN</t>
        </is>
      </c>
      <c r="G204" t="inlineStr">
        <is>
          <t>TANUM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72227-2021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44544</v>
      </c>
      <c r="E205" s="1" t="n">
        <v>46303</v>
      </c>
      <c r="F205" t="inlineStr">
        <is>
          <t>VÄSTRA GÖTALANDS LÄN</t>
        </is>
      </c>
      <c r="G205" t="inlineStr">
        <is>
          <t>TANUM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44572</v>
      </c>
      <c r="E206" s="1" t="n">
        <v>46303</v>
      </c>
      <c r="F206" t="inlineStr">
        <is>
          <t>VÄSTRA GÖTALANDS LÄN</t>
        </is>
      </c>
      <c r="G206" t="inlineStr">
        <is>
          <t>TANUM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46303</v>
      </c>
      <c r="F207" t="inlineStr">
        <is>
          <t>VÄSTRA GÖTALANDS LÄN</t>
        </is>
      </c>
      <c r="G207" t="inlineStr">
        <is>
          <t>TANUM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46303</v>
      </c>
      <c r="F208" t="inlineStr">
        <is>
          <t>VÄSTRA GÖTALANDS LÄN</t>
        </is>
      </c>
      <c r="G208" t="inlineStr">
        <is>
          <t>TANUM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46303</v>
      </c>
      <c r="F209" t="inlineStr">
        <is>
          <t>VÄSTRA GÖTALANDS LÄN</t>
        </is>
      </c>
      <c r="G209" t="inlineStr">
        <is>
          <t>TANUM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46303</v>
      </c>
      <c r="F210" t="inlineStr">
        <is>
          <t>VÄSTRA GÖTALANDS LÄN</t>
        </is>
      </c>
      <c r="G210" t="inlineStr">
        <is>
          <t>TANUM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44488</v>
      </c>
      <c r="E211" s="1" t="n">
        <v>46303</v>
      </c>
      <c r="F211" t="inlineStr">
        <is>
          <t>VÄSTRA GÖTALANDS LÄN</t>
        </is>
      </c>
      <c r="G211" t="inlineStr">
        <is>
          <t>TANUM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45942</v>
      </c>
      <c r="E212" s="1" t="n">
        <v>46303</v>
      </c>
      <c r="F212" t="inlineStr">
        <is>
          <t>VÄSTRA GÖTALANDS LÄN</t>
        </is>
      </c>
      <c r="G212" t="inlineStr">
        <is>
          <t>TANUM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46303</v>
      </c>
      <c r="F213" t="inlineStr">
        <is>
          <t>VÄSTRA GÖTALANDS LÄN</t>
        </is>
      </c>
      <c r="G213" t="inlineStr">
        <is>
          <t>TANUM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46303</v>
      </c>
      <c r="F214" t="inlineStr">
        <is>
          <t>VÄSTRA GÖTALANDS LÄN</t>
        </is>
      </c>
      <c r="G214" t="inlineStr">
        <is>
          <t>TANUM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46303</v>
      </c>
      <c r="F215" t="inlineStr">
        <is>
          <t>VÄSTRA GÖTALANDS LÄN</t>
        </is>
      </c>
      <c r="G215" t="inlineStr">
        <is>
          <t>TANUM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46303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46303</v>
      </c>
      <c r="F217" t="inlineStr">
        <is>
          <t>VÄSTRA GÖTALANDS LÄN</t>
        </is>
      </c>
      <c r="G217" t="inlineStr">
        <is>
          <t>TANUM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46303</v>
      </c>
      <c r="F218" t="inlineStr">
        <is>
          <t>VÄSTRA GÖTALANDS LÄN</t>
        </is>
      </c>
      <c r="G218" t="inlineStr">
        <is>
          <t>TANUM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46303</v>
      </c>
      <c r="F219" t="inlineStr">
        <is>
          <t>VÄSTRA GÖTALANDS LÄN</t>
        </is>
      </c>
      <c r="G219" t="inlineStr">
        <is>
          <t>TANUM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46303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45029</v>
      </c>
      <c r="E221" s="1" t="n">
        <v>46303</v>
      </c>
      <c r="F221" t="inlineStr">
        <is>
          <t>VÄSTRA GÖTALANDS LÄN</t>
        </is>
      </c>
      <c r="G221" t="inlineStr">
        <is>
          <t>TANUM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46303</v>
      </c>
      <c r="F222" t="inlineStr">
        <is>
          <t>VÄSTRA GÖTALANDS LÄN</t>
        </is>
      </c>
      <c r="G222" t="inlineStr">
        <is>
          <t>TANUM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46303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Kyrkan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44591</v>
      </c>
      <c r="E224" s="1" t="n">
        <v>46303</v>
      </c>
      <c r="F224" t="inlineStr">
        <is>
          <t>VÄSTRA GÖTALANDS LÄN</t>
        </is>
      </c>
      <c r="G224" t="inlineStr">
        <is>
          <t>TANUM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64990-2021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44514</v>
      </c>
      <c r="E225" s="1" t="n">
        <v>46303</v>
      </c>
      <c r="F225" t="inlineStr">
        <is>
          <t>VÄSTRA GÖTALANDS LÄN</t>
        </is>
      </c>
      <c r="G225" t="inlineStr">
        <is>
          <t>TANUM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46303</v>
      </c>
      <c r="F226" t="inlineStr">
        <is>
          <t>VÄSTRA GÖTALANDS LÄN</t>
        </is>
      </c>
      <c r="G226" t="inlineStr">
        <is>
          <t>TANUM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45842</v>
      </c>
      <c r="E227" s="1" t="n">
        <v>46303</v>
      </c>
      <c r="F227" t="inlineStr">
        <is>
          <t>VÄSTRA GÖTALANDS LÄN</t>
        </is>
      </c>
      <c r="G227" t="inlineStr">
        <is>
          <t>TANUM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46303</v>
      </c>
      <c r="F228" t="inlineStr">
        <is>
          <t>VÄSTRA GÖTALANDS LÄN</t>
        </is>
      </c>
      <c r="G228" t="inlineStr">
        <is>
          <t>TANUM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46303</v>
      </c>
      <c r="F229" t="inlineStr">
        <is>
          <t>VÄSTRA GÖTALANDS LÄN</t>
        </is>
      </c>
      <c r="G229" t="inlineStr">
        <is>
          <t>TANUM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46303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45506</v>
      </c>
      <c r="E231" s="1" t="n">
        <v>46303</v>
      </c>
      <c r="F231" t="inlineStr">
        <is>
          <t>VÄSTRA GÖTALANDS LÄN</t>
        </is>
      </c>
      <c r="G231" t="inlineStr">
        <is>
          <t>TANUM</t>
        </is>
      </c>
      <c r="I231" t="n">
        <v>11.9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46303</v>
      </c>
      <c r="F232" t="inlineStr">
        <is>
          <t>VÄSTRA GÖTALANDS LÄN</t>
        </is>
      </c>
      <c r="G232" t="inlineStr">
        <is>
          <t>TANUM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45355</v>
      </c>
      <c r="E233" s="1" t="n">
        <v>46303</v>
      </c>
      <c r="F233" t="inlineStr">
        <is>
          <t>VÄSTRA GÖTALANDS LÄN</t>
        </is>
      </c>
      <c r="G233" t="inlineStr">
        <is>
          <t>TANUM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46303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46303</v>
      </c>
      <c r="F235" t="inlineStr">
        <is>
          <t>VÄSTRA GÖTALANDS LÄN</t>
        </is>
      </c>
      <c r="G235" t="inlineStr">
        <is>
          <t>TANUM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46303</v>
      </c>
      <c r="F236" t="inlineStr">
        <is>
          <t>VÄSTRA GÖTALANDS LÄN</t>
        </is>
      </c>
      <c r="G236" t="inlineStr">
        <is>
          <t>TANUM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46303</v>
      </c>
      <c r="F237" t="inlineStr">
        <is>
          <t>VÄSTRA GÖTALANDS LÄN</t>
        </is>
      </c>
      <c r="G237" t="inlineStr">
        <is>
          <t>TANUM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45820</v>
      </c>
      <c r="E238" s="1" t="n">
        <v>46303</v>
      </c>
      <c r="F238" t="inlineStr">
        <is>
          <t>VÄSTRA GÖTALANDS LÄN</t>
        </is>
      </c>
      <c r="G238" t="inlineStr">
        <is>
          <t>TANUM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44939</v>
      </c>
      <c r="E239" s="1" t="n">
        <v>46303</v>
      </c>
      <c r="F239" t="inlineStr">
        <is>
          <t>VÄSTRA GÖTALANDS LÄN</t>
        </is>
      </c>
      <c r="G239" t="inlineStr">
        <is>
          <t>TANUM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46303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68161-2021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44526</v>
      </c>
      <c r="E241" s="1" t="n">
        <v>46303</v>
      </c>
      <c r="F241" t="inlineStr">
        <is>
          <t>VÄSTRA GÖTALANDS LÄN</t>
        </is>
      </c>
      <c r="G241" t="inlineStr">
        <is>
          <t>TANUM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46303</v>
      </c>
      <c r="F242" t="inlineStr">
        <is>
          <t>VÄSTRA GÖTALANDS LÄN</t>
        </is>
      </c>
      <c r="G242" t="inlineStr">
        <is>
          <t>TANUM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49687-2024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45596</v>
      </c>
      <c r="E243" s="1" t="n">
        <v>46303</v>
      </c>
      <c r="F243" t="inlineStr">
        <is>
          <t>VÄSTRA GÖTALANDS LÄN</t>
        </is>
      </c>
      <c r="G243" t="inlineStr">
        <is>
          <t>TANUM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46303</v>
      </c>
      <c r="F244" t="inlineStr">
        <is>
          <t>VÄSTRA GÖTALANDS LÄN</t>
        </is>
      </c>
      <c r="G244" t="inlineStr">
        <is>
          <t>TANUM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46303</v>
      </c>
      <c r="F245" t="inlineStr">
        <is>
          <t>VÄSTRA GÖTALANDS LÄN</t>
        </is>
      </c>
      <c r="G245" t="inlineStr">
        <is>
          <t>TANUM</t>
        </is>
      </c>
      <c r="I245" t="n">
        <v>12.9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46303</v>
      </c>
      <c r="F246" t="inlineStr">
        <is>
          <t>VÄSTRA GÖTALANDS LÄN</t>
        </is>
      </c>
      <c r="G246" t="inlineStr">
        <is>
          <t>TANUM</t>
        </is>
      </c>
      <c r="H246" t="inlineStr">
        <is>
          <t>Kyrkan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45568</v>
      </c>
      <c r="E247" s="1" t="n">
        <v>46303</v>
      </c>
      <c r="F247" t="inlineStr">
        <is>
          <t>VÄSTRA GÖTALANDS LÄN</t>
        </is>
      </c>
      <c r="G247" t="inlineStr">
        <is>
          <t>TANUM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45196</v>
      </c>
      <c r="E248" s="1" t="n">
        <v>46303</v>
      </c>
      <c r="F248" t="inlineStr">
        <is>
          <t>VÄSTRA GÖTALANDS LÄN</t>
        </is>
      </c>
      <c r="G248" t="inlineStr">
        <is>
          <t>TANUM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46303</v>
      </c>
      <c r="F249" t="inlineStr">
        <is>
          <t>VÄSTRA GÖTALANDS LÄN</t>
        </is>
      </c>
      <c r="G249" t="inlineStr">
        <is>
          <t>TANUM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45023</v>
      </c>
      <c r="E250" s="1" t="n">
        <v>46303</v>
      </c>
      <c r="F250" t="inlineStr">
        <is>
          <t>VÄSTRA GÖTALANDS LÄN</t>
        </is>
      </c>
      <c r="G250" t="inlineStr">
        <is>
          <t>TANUM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43921-2024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46303</v>
      </c>
      <c r="F251" t="inlineStr">
        <is>
          <t>VÄSTRA GÖTALANDS LÄN</t>
        </is>
      </c>
      <c r="G251" t="inlineStr">
        <is>
          <t>TANUM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44627</v>
      </c>
      <c r="E252" s="1" t="n">
        <v>46303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73810-2021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46303</v>
      </c>
      <c r="F253" t="inlineStr">
        <is>
          <t>VÄSTRA GÖTALANDS LÄN</t>
        </is>
      </c>
      <c r="G253" t="inlineStr">
        <is>
          <t>TANUM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45522</v>
      </c>
      <c r="E254" s="1" t="n">
        <v>46303</v>
      </c>
      <c r="F254" t="inlineStr">
        <is>
          <t>VÄSTRA GÖTALANDS LÄN</t>
        </is>
      </c>
      <c r="G254" t="inlineStr">
        <is>
          <t>TANUM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46303</v>
      </c>
      <c r="F255" t="inlineStr">
        <is>
          <t>VÄSTRA GÖTALANDS LÄN</t>
        </is>
      </c>
      <c r="G255" t="inlineStr">
        <is>
          <t>TANUM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46303</v>
      </c>
      <c r="F256" t="inlineStr">
        <is>
          <t>VÄSTRA GÖTALANDS LÄN</t>
        </is>
      </c>
      <c r="G256" t="inlineStr">
        <is>
          <t>TANUM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46303</v>
      </c>
      <c r="F257" t="inlineStr">
        <is>
          <t>VÄSTRA GÖTALANDS LÄN</t>
        </is>
      </c>
      <c r="G257" t="inlineStr">
        <is>
          <t>TANUM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46303</v>
      </c>
      <c r="F258" t="inlineStr">
        <is>
          <t>VÄSTRA GÖTALANDS LÄN</t>
        </is>
      </c>
      <c r="G258" t="inlineStr">
        <is>
          <t>TANUM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20190-2022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44698</v>
      </c>
      <c r="E259" s="1" t="n">
        <v>46303</v>
      </c>
      <c r="F259" t="inlineStr">
        <is>
          <t>VÄSTRA GÖTALANDS LÄN</t>
        </is>
      </c>
      <c r="G259" t="inlineStr">
        <is>
          <t>TANUM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45872</v>
      </c>
      <c r="E260" s="1" t="n">
        <v>46303</v>
      </c>
      <c r="F260" t="inlineStr">
        <is>
          <t>VÄSTRA GÖTALANDS LÄN</t>
        </is>
      </c>
      <c r="G260" t="inlineStr">
        <is>
          <t>TANUM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45873</v>
      </c>
      <c r="E261" s="1" t="n">
        <v>46303</v>
      </c>
      <c r="F261" t="inlineStr">
        <is>
          <t>VÄSTRA GÖTALANDS LÄN</t>
        </is>
      </c>
      <c r="G261" t="inlineStr">
        <is>
          <t>TANUM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46303</v>
      </c>
      <c r="F262" t="inlineStr">
        <is>
          <t>VÄSTRA GÖTALANDS LÄN</t>
        </is>
      </c>
      <c r="G262" t="inlineStr">
        <is>
          <t>TANUM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46303</v>
      </c>
      <c r="F263" t="inlineStr">
        <is>
          <t>VÄSTRA GÖTALANDS LÄN</t>
        </is>
      </c>
      <c r="G263" t="inlineStr">
        <is>
          <t>TANUM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45709</v>
      </c>
      <c r="E264" s="1" t="n">
        <v>46303</v>
      </c>
      <c r="F264" t="inlineStr">
        <is>
          <t>VÄSTRA GÖTALANDS LÄN</t>
        </is>
      </c>
      <c r="G264" t="inlineStr">
        <is>
          <t>TANUM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46303</v>
      </c>
      <c r="F265" t="inlineStr">
        <is>
          <t>VÄSTRA GÖTALANDS LÄN</t>
        </is>
      </c>
      <c r="G265" t="inlineStr">
        <is>
          <t>TANUM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46303</v>
      </c>
      <c r="F266" t="inlineStr">
        <is>
          <t>VÄSTRA GÖTALANDS LÄN</t>
        </is>
      </c>
      <c r="G266" t="inlineStr">
        <is>
          <t>TANUM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46303</v>
      </c>
      <c r="F267" t="inlineStr">
        <is>
          <t>VÄSTRA GÖTALANDS LÄN</t>
        </is>
      </c>
      <c r="G267" t="inlineStr">
        <is>
          <t>TANUM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46303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Naturvårdsverket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29930-2023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46303</v>
      </c>
      <c r="F269" t="inlineStr">
        <is>
          <t>VÄSTRA GÖTALANDS LÄN</t>
        </is>
      </c>
      <c r="G269" t="inlineStr">
        <is>
          <t>TANUM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46303</v>
      </c>
      <c r="F270" t="inlineStr">
        <is>
          <t>VÄSTRA GÖTALANDS LÄN</t>
        </is>
      </c>
      <c r="G270" t="inlineStr">
        <is>
          <t>TANUM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46303</v>
      </c>
      <c r="F271" t="inlineStr">
        <is>
          <t>VÄSTRA GÖTALANDS LÄN</t>
        </is>
      </c>
      <c r="G271" t="inlineStr">
        <is>
          <t>TANUM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45872</v>
      </c>
      <c r="E272" s="1" t="n">
        <v>46303</v>
      </c>
      <c r="F272" t="inlineStr">
        <is>
          <t>VÄSTRA GÖTALANDS LÄN</t>
        </is>
      </c>
      <c r="G272" t="inlineStr">
        <is>
          <t>TANUM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46303</v>
      </c>
      <c r="F273" t="inlineStr">
        <is>
          <t>VÄSTRA GÖTALANDS LÄN</t>
        </is>
      </c>
      <c r="G273" t="inlineStr">
        <is>
          <t>TANUM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23228-2022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44719</v>
      </c>
      <c r="E274" s="1" t="n">
        <v>46303</v>
      </c>
      <c r="F274" t="inlineStr">
        <is>
          <t>VÄSTRA GÖTALANDS LÄN</t>
        </is>
      </c>
      <c r="G274" t="inlineStr">
        <is>
          <t>TANUM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46303</v>
      </c>
      <c r="F275" t="inlineStr">
        <is>
          <t>VÄSTRA GÖTALANDS LÄN</t>
        </is>
      </c>
      <c r="G275" t="inlineStr">
        <is>
          <t>TANUM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56190-2025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46303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46303</v>
      </c>
      <c r="F277" t="inlineStr">
        <is>
          <t>VÄSTRA GÖTALANDS LÄN</t>
        </is>
      </c>
      <c r="G277" t="inlineStr">
        <is>
          <t>TANUM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46303</v>
      </c>
      <c r="F278" t="inlineStr">
        <is>
          <t>VÄSTRA GÖTALANDS LÄN</t>
        </is>
      </c>
      <c r="G278" t="inlineStr">
        <is>
          <t>TANUM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45820</v>
      </c>
      <c r="E279" s="1" t="n">
        <v>46303</v>
      </c>
      <c r="F279" t="inlineStr">
        <is>
          <t>VÄSTRA GÖTALANDS LÄN</t>
        </is>
      </c>
      <c r="G279" t="inlineStr">
        <is>
          <t>TANUM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44867</v>
      </c>
      <c r="E280" s="1" t="n">
        <v>46303</v>
      </c>
      <c r="F280" t="inlineStr">
        <is>
          <t>VÄSTRA GÖTALANDS LÄN</t>
        </is>
      </c>
      <c r="G280" t="inlineStr">
        <is>
          <t>TANUM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46303</v>
      </c>
      <c r="F281" t="inlineStr">
        <is>
          <t>VÄSTRA GÖTALANDS LÄN</t>
        </is>
      </c>
      <c r="G281" t="inlineStr">
        <is>
          <t>TANUM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46303</v>
      </c>
      <c r="F282" t="inlineStr">
        <is>
          <t>VÄSTRA GÖTALANDS LÄN</t>
        </is>
      </c>
      <c r="G282" t="inlineStr">
        <is>
          <t>TANUM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63326-2021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44506</v>
      </c>
      <c r="E283" s="1" t="n">
        <v>46303</v>
      </c>
      <c r="F283" t="inlineStr">
        <is>
          <t>VÄSTRA GÖTALANDS LÄN</t>
        </is>
      </c>
      <c r="G283" t="inlineStr">
        <is>
          <t>TANUM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46139</v>
      </c>
      <c r="E284" s="1" t="n">
        <v>46303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45655</v>
      </c>
      <c r="E285" s="1" t="n">
        <v>46303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46303</v>
      </c>
      <c r="F286" t="inlineStr">
        <is>
          <t>VÄSTRA GÖTALANDS LÄN</t>
        </is>
      </c>
      <c r="G286" t="inlineStr">
        <is>
          <t>TANUM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46303</v>
      </c>
      <c r="F287" t="inlineStr">
        <is>
          <t>VÄSTRA GÖTALANDS LÄN</t>
        </is>
      </c>
      <c r="G287" t="inlineStr">
        <is>
          <t>TANUM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46303</v>
      </c>
      <c r="F288" t="inlineStr">
        <is>
          <t>VÄSTRA GÖTALANDS LÄN</t>
        </is>
      </c>
      <c r="G288" t="inlineStr">
        <is>
          <t>TANUM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46303</v>
      </c>
      <c r="F289" t="inlineStr">
        <is>
          <t>VÄSTRA GÖTALANDS LÄN</t>
        </is>
      </c>
      <c r="G289" t="inlineStr">
        <is>
          <t>TANUM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46303</v>
      </c>
      <c r="F290" t="inlineStr">
        <is>
          <t>VÄSTRA GÖTALANDS LÄN</t>
        </is>
      </c>
      <c r="G290" t="inlineStr">
        <is>
          <t>TANUM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46303</v>
      </c>
      <c r="F291" t="inlineStr">
        <is>
          <t>VÄSTRA GÖTALANDS LÄN</t>
        </is>
      </c>
      <c r="G291" t="inlineStr">
        <is>
          <t>TANUM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46303</v>
      </c>
      <c r="F292" t="inlineStr">
        <is>
          <t>VÄSTRA GÖTALANDS LÄN</t>
        </is>
      </c>
      <c r="G292" t="inlineStr">
        <is>
          <t>TANUM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45837</v>
      </c>
      <c r="E293" s="1" t="n">
        <v>46303</v>
      </c>
      <c r="F293" t="inlineStr">
        <is>
          <t>VÄSTRA GÖTALANDS LÄN</t>
        </is>
      </c>
      <c r="G293" t="inlineStr">
        <is>
          <t>TANUM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45279</v>
      </c>
      <c r="E294" s="1" t="n">
        <v>46303</v>
      </c>
      <c r="F294" t="inlineStr">
        <is>
          <t>VÄSTRA GÖTALANDS LÄN</t>
        </is>
      </c>
      <c r="G294" t="inlineStr">
        <is>
          <t>TANUM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58809-2025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45987</v>
      </c>
      <c r="E295" s="1" t="n">
        <v>46303</v>
      </c>
      <c r="F295" t="inlineStr">
        <is>
          <t>VÄSTRA GÖTALANDS LÄN</t>
        </is>
      </c>
      <c r="G295" t="inlineStr">
        <is>
          <t>TANUM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46303</v>
      </c>
      <c r="F296" t="inlineStr">
        <is>
          <t>VÄSTRA GÖTALANDS LÄN</t>
        </is>
      </c>
      <c r="G296" t="inlineStr">
        <is>
          <t>TANUM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61213-2022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46303</v>
      </c>
      <c r="F297" t="inlineStr">
        <is>
          <t>VÄSTRA GÖTALANDS LÄN</t>
        </is>
      </c>
      <c r="G297" t="inlineStr">
        <is>
          <t>TANUM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46303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45041</v>
      </c>
      <c r="E299" s="1" t="n">
        <v>46303</v>
      </c>
      <c r="F299" t="inlineStr">
        <is>
          <t>VÄSTRA GÖTALANDS LÄN</t>
        </is>
      </c>
      <c r="G299" t="inlineStr">
        <is>
          <t>TANUM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44894-2023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45190</v>
      </c>
      <c r="E300" s="1" t="n">
        <v>46303</v>
      </c>
      <c r="F300" t="inlineStr">
        <is>
          <t>VÄSTRA GÖTALANDS LÄN</t>
        </is>
      </c>
      <c r="G300" t="inlineStr">
        <is>
          <t>TANUM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45085</v>
      </c>
      <c r="E301" s="1" t="n">
        <v>46303</v>
      </c>
      <c r="F301" t="inlineStr">
        <is>
          <t>VÄSTRA GÖTALANDS LÄN</t>
        </is>
      </c>
      <c r="G301" t="inlineStr">
        <is>
          <t>TANUM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46303</v>
      </c>
      <c r="F302" t="inlineStr">
        <is>
          <t>VÄSTRA GÖTALANDS LÄN</t>
        </is>
      </c>
      <c r="G302" t="inlineStr">
        <is>
          <t>TANUM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46303</v>
      </c>
      <c r="F303" t="inlineStr">
        <is>
          <t>VÄSTRA GÖTALANDS LÄN</t>
        </is>
      </c>
      <c r="G303" t="inlineStr">
        <is>
          <t>TANUM</t>
        </is>
      </c>
      <c r="I303" t="n">
        <v>11.4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46303</v>
      </c>
      <c r="F304" t="inlineStr">
        <is>
          <t>VÄSTRA GÖTALANDS LÄN</t>
        </is>
      </c>
      <c r="G304" t="inlineStr">
        <is>
          <t>TANUM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44969</v>
      </c>
      <c r="E305" s="1" t="n">
        <v>46303</v>
      </c>
      <c r="F305" t="inlineStr">
        <is>
          <t>VÄSTRA GÖTALANDS LÄN</t>
        </is>
      </c>
      <c r="G305" t="inlineStr">
        <is>
          <t>TANUM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45649</v>
      </c>
      <c r="E306" s="1" t="n">
        <v>46303</v>
      </c>
      <c r="F306" t="inlineStr">
        <is>
          <t>VÄSTRA GÖTALANDS LÄN</t>
        </is>
      </c>
      <c r="G306" t="inlineStr">
        <is>
          <t>TANUM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46303</v>
      </c>
      <c r="F307" t="inlineStr">
        <is>
          <t>VÄSTRA GÖTALANDS LÄN</t>
        </is>
      </c>
      <c r="G307" t="inlineStr">
        <is>
          <t>TANUM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44954</v>
      </c>
      <c r="E308" s="1" t="n">
        <v>46303</v>
      </c>
      <c r="F308" t="inlineStr">
        <is>
          <t>VÄSTRA GÖTALANDS LÄN</t>
        </is>
      </c>
      <c r="G308" t="inlineStr">
        <is>
          <t>TANUM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46303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45637</v>
      </c>
      <c r="E310" s="1" t="n">
        <v>46303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46303</v>
      </c>
      <c r="F311" t="inlineStr">
        <is>
          <t>VÄSTRA GÖTALANDS LÄN</t>
        </is>
      </c>
      <c r="G311" t="inlineStr">
        <is>
          <t>TANUM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45085</v>
      </c>
      <c r="E312" s="1" t="n">
        <v>46303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46303</v>
      </c>
      <c r="F313" t="inlineStr">
        <is>
          <t>VÄSTRA GÖTALANDS LÄN</t>
        </is>
      </c>
      <c r="G313" t="inlineStr">
        <is>
          <t>TANUM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46303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46303</v>
      </c>
      <c r="F315" t="inlineStr">
        <is>
          <t>VÄSTRA GÖTALANDS LÄN</t>
        </is>
      </c>
      <c r="G315" t="inlineStr">
        <is>
          <t>TANUM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14269-2022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44651</v>
      </c>
      <c r="E316" s="1" t="n">
        <v>46303</v>
      </c>
      <c r="F316" t="inlineStr">
        <is>
          <t>VÄSTRA GÖTALANDS LÄN</t>
        </is>
      </c>
      <c r="G316" t="inlineStr">
        <is>
          <t>TANUM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44929</v>
      </c>
      <c r="E317" s="1" t="n">
        <v>46303</v>
      </c>
      <c r="F317" t="inlineStr">
        <is>
          <t>VÄSTRA GÖTALANDS LÄN</t>
        </is>
      </c>
      <c r="G317" t="inlineStr">
        <is>
          <t>TANUM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46303</v>
      </c>
      <c r="F318" t="inlineStr">
        <is>
          <t>VÄSTRA GÖTALANDS LÄN</t>
        </is>
      </c>
      <c r="G318" t="inlineStr">
        <is>
          <t>TANUM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44997</v>
      </c>
      <c r="E319" s="1" t="n">
        <v>46303</v>
      </c>
      <c r="F319" t="inlineStr">
        <is>
          <t>VÄSTRA GÖTALANDS LÄN</t>
        </is>
      </c>
      <c r="G319" t="inlineStr">
        <is>
          <t>TANUM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34331-2022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44792</v>
      </c>
      <c r="E320" s="1" t="n">
        <v>46303</v>
      </c>
      <c r="F320" t="inlineStr">
        <is>
          <t>VÄSTRA GÖTALANDS LÄN</t>
        </is>
      </c>
      <c r="G320" t="inlineStr">
        <is>
          <t>TANUM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46303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45659</v>
      </c>
      <c r="E322" s="1" t="n">
        <v>46303</v>
      </c>
      <c r="F322" t="inlineStr">
        <is>
          <t>VÄSTRA GÖTALANDS LÄN</t>
        </is>
      </c>
      <c r="G322" t="inlineStr">
        <is>
          <t>TANUM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46303</v>
      </c>
      <c r="F323" t="inlineStr">
        <is>
          <t>VÄSTRA GÖTALANDS LÄN</t>
        </is>
      </c>
      <c r="G323" t="inlineStr">
        <is>
          <t>TANUM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46303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45154</v>
      </c>
      <c r="E325" s="1" t="n">
        <v>46303</v>
      </c>
      <c r="F325" t="inlineStr">
        <is>
          <t>VÄSTRA GÖTALANDS LÄN</t>
        </is>
      </c>
      <c r="G325" t="inlineStr">
        <is>
          <t>TANUM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46303</v>
      </c>
      <c r="F326" t="inlineStr">
        <is>
          <t>VÄSTRA GÖTALANDS LÄN</t>
        </is>
      </c>
      <c r="G326" t="inlineStr">
        <is>
          <t>TANUM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35599-2022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44799</v>
      </c>
      <c r="E327" s="1" t="n">
        <v>46303</v>
      </c>
      <c r="F327" t="inlineStr">
        <is>
          <t>VÄSTRA GÖTALANDS LÄN</t>
        </is>
      </c>
      <c r="G327" t="inlineStr">
        <is>
          <t>TANUM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45673</v>
      </c>
      <c r="E328" s="1" t="n">
        <v>46303</v>
      </c>
      <c r="F328" t="inlineStr">
        <is>
          <t>VÄSTRA GÖTALANDS LÄN</t>
        </is>
      </c>
      <c r="G328" t="inlineStr">
        <is>
          <t>TANUM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44739</v>
      </c>
      <c r="E329" s="1" t="n">
        <v>46303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46303</v>
      </c>
      <c r="F330" t="inlineStr">
        <is>
          <t>VÄSTRA GÖTALANDS LÄN</t>
        </is>
      </c>
      <c r="G330" t="inlineStr">
        <is>
          <t>TANUM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46303</v>
      </c>
      <c r="F331" t="inlineStr">
        <is>
          <t>VÄSTRA GÖTALANDS LÄN</t>
        </is>
      </c>
      <c r="G331" t="inlineStr">
        <is>
          <t>TANUM</t>
        </is>
      </c>
      <c r="I331" t="n">
        <v>10.2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46303</v>
      </c>
      <c r="F332" t="inlineStr">
        <is>
          <t>VÄSTRA GÖTALANDS LÄN</t>
        </is>
      </c>
      <c r="G332" t="inlineStr">
        <is>
          <t>TANUM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30322-2026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46207</v>
      </c>
      <c r="E333" s="1" t="n">
        <v>46303</v>
      </c>
      <c r="F333" t="inlineStr">
        <is>
          <t>VÄSTRA GÖTALANDS LÄN</t>
        </is>
      </c>
      <c r="G333" t="inlineStr">
        <is>
          <t>TANUM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45293</v>
      </c>
      <c r="E334" s="1" t="n">
        <v>46303</v>
      </c>
      <c r="F334" t="inlineStr">
        <is>
          <t>VÄSTRA GÖTALANDS LÄN</t>
        </is>
      </c>
      <c r="G334" t="inlineStr">
        <is>
          <t>TANUM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44725</v>
      </c>
      <c r="E335" s="1" t="n">
        <v>46303</v>
      </c>
      <c r="F335" t="inlineStr">
        <is>
          <t>VÄSTRA GÖTALANDS LÄN</t>
        </is>
      </c>
      <c r="G335" t="inlineStr">
        <is>
          <t>TANUM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45005</v>
      </c>
      <c r="E336" s="1" t="n">
        <v>46303</v>
      </c>
      <c r="F336" t="inlineStr">
        <is>
          <t>VÄSTRA GÖTALANDS LÄN</t>
        </is>
      </c>
      <c r="G336" t="inlineStr">
        <is>
          <t>TANUM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46303</v>
      </c>
      <c r="F337" t="inlineStr">
        <is>
          <t>VÄSTRA GÖTALANDS LÄN</t>
        </is>
      </c>
      <c r="G337" t="inlineStr">
        <is>
          <t>TANUM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46303</v>
      </c>
      <c r="F338" t="inlineStr">
        <is>
          <t>VÄSTRA GÖTALANDS LÄN</t>
        </is>
      </c>
      <c r="G338" t="inlineStr">
        <is>
          <t>TANUM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45300</v>
      </c>
      <c r="E339" s="1" t="n">
        <v>46303</v>
      </c>
      <c r="F339" t="inlineStr">
        <is>
          <t>VÄSTRA GÖTALANDS LÄN</t>
        </is>
      </c>
      <c r="G339" t="inlineStr">
        <is>
          <t>TANUM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35720-2022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44799</v>
      </c>
      <c r="E340" s="1" t="n">
        <v>46303</v>
      </c>
      <c r="F340" t="inlineStr">
        <is>
          <t>VÄSTRA GÖTALANDS LÄN</t>
        </is>
      </c>
      <c r="G340" t="inlineStr">
        <is>
          <t>TANUM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46303</v>
      </c>
      <c r="F341" t="inlineStr">
        <is>
          <t>VÄSTRA GÖTALANDS LÄN</t>
        </is>
      </c>
      <c r="G341" t="inlineStr">
        <is>
          <t>TANUM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46303</v>
      </c>
      <c r="F342" t="inlineStr">
        <is>
          <t>VÄSTRA GÖTALANDS LÄN</t>
        </is>
      </c>
      <c r="G342" t="inlineStr">
        <is>
          <t>TANUM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46303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Kommuner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46303</v>
      </c>
      <c r="F344" t="inlineStr">
        <is>
          <t>VÄSTRA GÖTALANDS LÄN</t>
        </is>
      </c>
      <c r="G344" t="inlineStr">
        <is>
          <t>TANUM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46303</v>
      </c>
      <c r="F345" t="inlineStr">
        <is>
          <t>VÄSTRA GÖTALANDS LÄN</t>
        </is>
      </c>
      <c r="G345" t="inlineStr">
        <is>
          <t>TANUM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46303</v>
      </c>
      <c r="F346" t="inlineStr">
        <is>
          <t>VÄSTRA GÖTALANDS LÄN</t>
        </is>
      </c>
      <c r="G346" t="inlineStr">
        <is>
          <t>TANUM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46177</v>
      </c>
      <c r="E347" s="1" t="n">
        <v>46303</v>
      </c>
      <c r="F347" t="inlineStr">
        <is>
          <t>VÄSTRA GÖTALANDS LÄN</t>
        </is>
      </c>
      <c r="G347" t="inlineStr">
        <is>
          <t>TANUM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46176</v>
      </c>
      <c r="E348" s="1" t="n">
        <v>46303</v>
      </c>
      <c r="F348" t="inlineStr">
        <is>
          <t>VÄSTRA GÖTALANDS LÄN</t>
        </is>
      </c>
      <c r="G348" t="inlineStr">
        <is>
          <t>TANUM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46303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45309</v>
      </c>
      <c r="E350" s="1" t="n">
        <v>46303</v>
      </c>
      <c r="F350" t="inlineStr">
        <is>
          <t>VÄSTRA GÖTALANDS LÄN</t>
        </is>
      </c>
      <c r="G350" t="inlineStr">
        <is>
          <t>TANUM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45030</v>
      </c>
      <c r="E351" s="1" t="n">
        <v>46303</v>
      </c>
      <c r="F351" t="inlineStr">
        <is>
          <t>VÄSTRA GÖTALANDS LÄN</t>
        </is>
      </c>
      <c r="G351" t="inlineStr">
        <is>
          <t>TANUM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46303</v>
      </c>
      <c r="F352" t="inlineStr">
        <is>
          <t>VÄSTRA GÖTALANDS LÄN</t>
        </is>
      </c>
      <c r="G352" t="inlineStr">
        <is>
          <t>TANUM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46303</v>
      </c>
      <c r="F353" t="inlineStr">
        <is>
          <t>VÄSTRA GÖTALANDS LÄN</t>
        </is>
      </c>
      <c r="G353" t="inlineStr">
        <is>
          <t>TANUM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46303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46303</v>
      </c>
      <c r="F355" t="inlineStr">
        <is>
          <t>VÄSTRA GÖTALANDS LÄN</t>
        </is>
      </c>
      <c r="G355" t="inlineStr">
        <is>
          <t>TANUM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46303</v>
      </c>
      <c r="F356" t="inlineStr">
        <is>
          <t>VÄSTRA GÖTALANDS LÄN</t>
        </is>
      </c>
      <c r="G356" t="inlineStr">
        <is>
          <t>TANUM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46303</v>
      </c>
      <c r="F357" t="inlineStr">
        <is>
          <t>VÄSTRA GÖTALANDS LÄN</t>
        </is>
      </c>
      <c r="G357" t="inlineStr">
        <is>
          <t>TANUM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46303</v>
      </c>
      <c r="F358" t="inlineStr">
        <is>
          <t>VÄSTRA GÖTALANDS LÄN</t>
        </is>
      </c>
      <c r="G358" t="inlineStr">
        <is>
          <t>TANUM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46303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46303</v>
      </c>
      <c r="F360" t="inlineStr">
        <is>
          <t>VÄSTRA GÖTALANDS LÄN</t>
        </is>
      </c>
      <c r="G360" t="inlineStr">
        <is>
          <t>TANUM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46303</v>
      </c>
      <c r="F361" t="inlineStr">
        <is>
          <t>VÄSTRA GÖTALANDS LÄN</t>
        </is>
      </c>
      <c r="G361" t="inlineStr">
        <is>
          <t>TANUM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46039</v>
      </c>
      <c r="E362" s="1" t="n">
        <v>46303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60624-2021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44496</v>
      </c>
      <c r="E363" s="1" t="n">
        <v>46303</v>
      </c>
      <c r="F363" t="inlineStr">
        <is>
          <t>VÄSTRA GÖTALANDS LÄN</t>
        </is>
      </c>
      <c r="G363" t="inlineStr">
        <is>
          <t>TANUM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46303</v>
      </c>
      <c r="F364" t="inlineStr">
        <is>
          <t>VÄSTRA GÖTALANDS LÄN</t>
        </is>
      </c>
      <c r="G364" t="inlineStr">
        <is>
          <t>TANUM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46303</v>
      </c>
      <c r="F365" t="inlineStr">
        <is>
          <t>VÄSTRA GÖTALANDS LÄN</t>
        </is>
      </c>
      <c r="G365" t="inlineStr">
        <is>
          <t>TANUM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46303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45278</v>
      </c>
      <c r="E367" s="1" t="n">
        <v>46303</v>
      </c>
      <c r="F367" t="inlineStr">
        <is>
          <t>VÄSTRA GÖTALANDS LÄN</t>
        </is>
      </c>
      <c r="G367" t="inlineStr">
        <is>
          <t>TANUM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46303</v>
      </c>
      <c r="F368" t="inlineStr">
        <is>
          <t>VÄSTRA GÖTALANDS LÄN</t>
        </is>
      </c>
      <c r="G368" t="inlineStr">
        <is>
          <t>TANUM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46303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46303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46303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46303</v>
      </c>
      <c r="F372" t="inlineStr">
        <is>
          <t>VÄSTRA GÖTALANDS LÄN</t>
        </is>
      </c>
      <c r="G372" t="inlineStr">
        <is>
          <t>TANUM</t>
        </is>
      </c>
      <c r="H372" t="inlineStr">
        <is>
          <t>Naturvårdsverket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46303</v>
      </c>
      <c r="F373" t="inlineStr">
        <is>
          <t>VÄSTRA GÖTALANDS LÄN</t>
        </is>
      </c>
      <c r="G373" t="inlineStr">
        <is>
          <t>TANUM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46303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46303</v>
      </c>
      <c r="F375" t="inlineStr">
        <is>
          <t>VÄSTRA GÖTALANDS LÄN</t>
        </is>
      </c>
      <c r="G375" t="inlineStr">
        <is>
          <t>TANUM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46303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46303</v>
      </c>
      <c r="F377" t="inlineStr">
        <is>
          <t>VÄSTRA GÖTALANDS LÄN</t>
        </is>
      </c>
      <c r="G377" t="inlineStr">
        <is>
          <t>TANUM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46303</v>
      </c>
      <c r="F378" t="inlineStr">
        <is>
          <t>VÄSTRA GÖTALANDS LÄN</t>
        </is>
      </c>
      <c r="G378" t="inlineStr">
        <is>
          <t>TANUM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43242-2022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44834</v>
      </c>
      <c r="E379" s="1" t="n">
        <v>46303</v>
      </c>
      <c r="F379" t="inlineStr">
        <is>
          <t>VÄSTRA GÖTALANDS LÄN</t>
        </is>
      </c>
      <c r="G379" t="inlineStr">
        <is>
          <t>TANUM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45303</v>
      </c>
      <c r="E380" s="1" t="n">
        <v>46303</v>
      </c>
      <c r="F380" t="inlineStr">
        <is>
          <t>VÄSTRA GÖTALANDS LÄN</t>
        </is>
      </c>
      <c r="G380" t="inlineStr">
        <is>
          <t>TANUM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46303</v>
      </c>
      <c r="F381" t="inlineStr">
        <is>
          <t>VÄSTRA GÖTALANDS LÄN</t>
        </is>
      </c>
      <c r="G381" t="inlineStr">
        <is>
          <t>TANUM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46303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45371</v>
      </c>
      <c r="E383" s="1" t="n">
        <v>46303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44585</v>
      </c>
      <c r="E384" s="1" t="n">
        <v>46303</v>
      </c>
      <c r="F384" t="inlineStr">
        <is>
          <t>VÄSTRA GÖTALANDS LÄN</t>
        </is>
      </c>
      <c r="G384" t="inlineStr">
        <is>
          <t>TANUM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44908</v>
      </c>
      <c r="E385" s="1" t="n">
        <v>46303</v>
      </c>
      <c r="F385" t="inlineStr">
        <is>
          <t>VÄSTRA GÖTALANDS LÄN</t>
        </is>
      </c>
      <c r="G385" t="inlineStr">
        <is>
          <t>TANUM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46303</v>
      </c>
      <c r="F386" t="inlineStr">
        <is>
          <t>VÄSTRA GÖTALANDS LÄN</t>
        </is>
      </c>
      <c r="G386" t="inlineStr">
        <is>
          <t>TANUM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46303</v>
      </c>
      <c r="F387" t="inlineStr">
        <is>
          <t>VÄSTRA GÖTALANDS LÄN</t>
        </is>
      </c>
      <c r="G387" t="inlineStr">
        <is>
          <t>TANUM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45261</v>
      </c>
      <c r="E388" s="1" t="n">
        <v>46303</v>
      </c>
      <c r="F388" t="inlineStr">
        <is>
          <t>VÄSTRA GÖTALANDS LÄN</t>
        </is>
      </c>
      <c r="G388" t="inlineStr">
        <is>
          <t>TANUM</t>
        </is>
      </c>
      <c r="I388" t="n">
        <v>11.3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43594-2023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45184</v>
      </c>
      <c r="E389" s="1" t="n">
        <v>46303</v>
      </c>
      <c r="F389" t="inlineStr">
        <is>
          <t>VÄSTRA GÖTALANDS LÄN</t>
        </is>
      </c>
      <c r="G389" t="inlineStr">
        <is>
          <t>TANUM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46303</v>
      </c>
      <c r="F390" t="inlineStr">
        <is>
          <t>VÄSTRA GÖTALANDS LÄN</t>
        </is>
      </c>
      <c r="G390" t="inlineStr">
        <is>
          <t>TANUM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46303</v>
      </c>
      <c r="F391" t="inlineStr">
        <is>
          <t>VÄSTRA GÖTALANDS LÄN</t>
        </is>
      </c>
      <c r="G391" t="inlineStr">
        <is>
          <t>TANUM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46303</v>
      </c>
      <c r="F392" t="inlineStr">
        <is>
          <t>VÄSTRA GÖTALANDS LÄN</t>
        </is>
      </c>
      <c r="G392" t="inlineStr">
        <is>
          <t>TANUM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46303</v>
      </c>
      <c r="F393" t="inlineStr">
        <is>
          <t>VÄSTRA GÖTALANDS LÄN</t>
        </is>
      </c>
      <c r="G393" t="inlineStr">
        <is>
          <t>TANUM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50941-2022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44867</v>
      </c>
      <c r="E394" s="1" t="n">
        <v>46303</v>
      </c>
      <c r="F394" t="inlineStr">
        <is>
          <t>VÄSTRA GÖTALANDS LÄN</t>
        </is>
      </c>
      <c r="G394" t="inlineStr">
        <is>
          <t>TANUM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46303</v>
      </c>
      <c r="F395" t="inlineStr">
        <is>
          <t>VÄSTRA GÖTALANDS LÄN</t>
        </is>
      </c>
      <c r="G395" t="inlineStr">
        <is>
          <t>TANUM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46303</v>
      </c>
      <c r="F396" t="inlineStr">
        <is>
          <t>VÄSTRA GÖTALANDS LÄN</t>
        </is>
      </c>
      <c r="G396" t="inlineStr">
        <is>
          <t>TANUM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46303</v>
      </c>
      <c r="F397" t="inlineStr">
        <is>
          <t>VÄSTRA GÖTALANDS LÄN</t>
        </is>
      </c>
      <c r="G397" t="inlineStr">
        <is>
          <t>TANUM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46303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46085</v>
      </c>
      <c r="E399" s="1" t="n">
        <v>46303</v>
      </c>
      <c r="F399" t="inlineStr">
        <is>
          <t>VÄSTRA GÖTALANDS LÄN</t>
        </is>
      </c>
      <c r="G399" t="inlineStr">
        <is>
          <t>TANUM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45350</v>
      </c>
      <c r="E400" s="1" t="n">
        <v>46303</v>
      </c>
      <c r="F400" t="inlineStr">
        <is>
          <t>VÄSTRA GÖTALANDS LÄN</t>
        </is>
      </c>
      <c r="G400" t="inlineStr">
        <is>
          <t>TANUM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46303</v>
      </c>
      <c r="F401" t="inlineStr">
        <is>
          <t>VÄSTRA GÖTALANDS LÄN</t>
        </is>
      </c>
      <c r="G401" t="inlineStr">
        <is>
          <t>TANUM</t>
        </is>
      </c>
      <c r="H401" t="inlineStr">
        <is>
          <t>Kyrkan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70979-2021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44538</v>
      </c>
      <c r="E402" s="1" t="n">
        <v>46303</v>
      </c>
      <c r="F402" t="inlineStr">
        <is>
          <t>VÄSTRA GÖTALANDS LÄN</t>
        </is>
      </c>
      <c r="G402" t="inlineStr">
        <is>
          <t>TANUM</t>
        </is>
      </c>
      <c r="I402" t="n">
        <v>19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46303</v>
      </c>
      <c r="F403" t="inlineStr">
        <is>
          <t>VÄSTRA GÖTALANDS LÄN</t>
        </is>
      </c>
      <c r="G403" t="inlineStr">
        <is>
          <t>TANUM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45286</v>
      </c>
      <c r="E404" s="1" t="n">
        <v>46303</v>
      </c>
      <c r="F404" t="inlineStr">
        <is>
          <t>VÄSTRA GÖTALANDS LÄN</t>
        </is>
      </c>
      <c r="G404" t="inlineStr">
        <is>
          <t>TANUM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45544</v>
      </c>
      <c r="E405" s="1" t="n">
        <v>46303</v>
      </c>
      <c r="F405" t="inlineStr">
        <is>
          <t>VÄSTRA GÖTALANDS LÄN</t>
        </is>
      </c>
      <c r="G405" t="inlineStr">
        <is>
          <t>TANUM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46303</v>
      </c>
      <c r="F406" t="inlineStr">
        <is>
          <t>VÄSTRA GÖTALANDS LÄN</t>
        </is>
      </c>
      <c r="G406" t="inlineStr">
        <is>
          <t>TANUM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46303</v>
      </c>
      <c r="F407" t="inlineStr">
        <is>
          <t>VÄSTRA GÖTALANDS LÄN</t>
        </is>
      </c>
      <c r="G407" t="inlineStr">
        <is>
          <t>TANUM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46303</v>
      </c>
      <c r="F408" t="inlineStr">
        <is>
          <t>VÄSTRA GÖTALANDS LÄN</t>
        </is>
      </c>
      <c r="G408" t="inlineStr">
        <is>
          <t>TANUM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46303</v>
      </c>
      <c r="F409" t="inlineStr">
        <is>
          <t>VÄSTRA GÖTALANDS LÄN</t>
        </is>
      </c>
      <c r="G409" t="inlineStr">
        <is>
          <t>TANUM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45387</v>
      </c>
      <c r="E410" s="1" t="n">
        <v>46303</v>
      </c>
      <c r="F410" t="inlineStr">
        <is>
          <t>VÄSTRA GÖTALANDS LÄN</t>
        </is>
      </c>
      <c r="G410" t="inlineStr">
        <is>
          <t>TANUM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46303</v>
      </c>
      <c r="F411" t="inlineStr">
        <is>
          <t>VÄSTRA GÖTALANDS LÄN</t>
        </is>
      </c>
      <c r="G411" t="inlineStr">
        <is>
          <t>TANUM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46303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46303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Kyrkan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2706-2023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44944</v>
      </c>
      <c r="E414" s="1" t="n">
        <v>46303</v>
      </c>
      <c r="F414" t="inlineStr">
        <is>
          <t>VÄSTRA GÖTALANDS LÄN</t>
        </is>
      </c>
      <c r="G414" t="inlineStr">
        <is>
          <t>TANUM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46100</v>
      </c>
      <c r="E415" s="1" t="n">
        <v>46303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Sveaskog</t>
        </is>
      </c>
      <c r="I415" t="n">
        <v>12.2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46303</v>
      </c>
      <c r="F416" t="inlineStr">
        <is>
          <t>VÄSTRA GÖTALANDS LÄN</t>
        </is>
      </c>
      <c r="G416" t="inlineStr">
        <is>
          <t>TANUM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45153</v>
      </c>
      <c r="E417" s="1" t="n">
        <v>46303</v>
      </c>
      <c r="F417" t="inlineStr">
        <is>
          <t>VÄSTRA GÖTALANDS LÄN</t>
        </is>
      </c>
      <c r="G417" t="inlineStr">
        <is>
          <t>TANUM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46303</v>
      </c>
      <c r="F418" t="inlineStr">
        <is>
          <t>VÄSTRA GÖTALANDS LÄN</t>
        </is>
      </c>
      <c r="G418" t="inlineStr">
        <is>
          <t>TANUM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45311</v>
      </c>
      <c r="E419" s="1" t="n">
        <v>46303</v>
      </c>
      <c r="F419" t="inlineStr">
        <is>
          <t>VÄSTRA GÖTALANDS LÄN</t>
        </is>
      </c>
      <c r="G419" t="inlineStr">
        <is>
          <t>TANUM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50183-2024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45599</v>
      </c>
      <c r="E420" s="1" t="n">
        <v>46303</v>
      </c>
      <c r="F420" t="inlineStr">
        <is>
          <t>VÄSTRA GÖTALANDS LÄN</t>
        </is>
      </c>
      <c r="G420" t="inlineStr">
        <is>
          <t>TANUM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46125</v>
      </c>
      <c r="E421" s="1" t="n">
        <v>46303</v>
      </c>
      <c r="F421" t="inlineStr">
        <is>
          <t>VÄSTRA GÖTALANDS LÄN</t>
        </is>
      </c>
      <c r="G421" t="inlineStr">
        <is>
          <t>TANUM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63198-2025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46303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45692</v>
      </c>
      <c r="E423" s="1" t="n">
        <v>46303</v>
      </c>
      <c r="F423" t="inlineStr">
        <is>
          <t>VÄSTRA GÖTALANDS LÄN</t>
        </is>
      </c>
      <c r="G423" t="inlineStr">
        <is>
          <t>TANUM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46303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45516</v>
      </c>
      <c r="E425" s="1" t="n">
        <v>46303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45415</v>
      </c>
      <c r="E426" s="1" t="n">
        <v>46303</v>
      </c>
      <c r="F426" t="inlineStr">
        <is>
          <t>VÄSTRA GÖTALANDS LÄN</t>
        </is>
      </c>
      <c r="G426" t="inlineStr">
        <is>
          <t>TANUM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56379-2022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44890</v>
      </c>
      <c r="E427" s="1" t="n">
        <v>46303</v>
      </c>
      <c r="F427" t="inlineStr">
        <is>
          <t>VÄSTRA GÖTALANDS LÄN</t>
        </is>
      </c>
      <c r="G427" t="inlineStr">
        <is>
          <t>TANUM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46303</v>
      </c>
      <c r="F428" t="inlineStr">
        <is>
          <t>VÄSTRA GÖTALANDS LÄN</t>
        </is>
      </c>
      <c r="G428" t="inlineStr">
        <is>
          <t>TANUM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46262</v>
      </c>
      <c r="E429" s="1" t="n">
        <v>46303</v>
      </c>
      <c r="F429" t="inlineStr">
        <is>
          <t>VÄSTRA GÖTALANDS LÄN</t>
        </is>
      </c>
      <c r="G429" t="inlineStr">
        <is>
          <t>TANUM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46303</v>
      </c>
      <c r="F430" t="inlineStr">
        <is>
          <t>VÄSTRA GÖTALANDS LÄN</t>
        </is>
      </c>
      <c r="G430" t="inlineStr">
        <is>
          <t>TANUM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45102</v>
      </c>
      <c r="E431" s="1" t="n">
        <v>46303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46303</v>
      </c>
      <c r="F432" t="inlineStr">
        <is>
          <t>VÄSTRA GÖTALANDS LÄN</t>
        </is>
      </c>
      <c r="G432" t="inlineStr">
        <is>
          <t>TANUM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45209</v>
      </c>
      <c r="E433" s="1" t="n">
        <v>46303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45355</v>
      </c>
      <c r="E434" s="1" t="n">
        <v>46303</v>
      </c>
      <c r="F434" t="inlineStr">
        <is>
          <t>VÄSTRA GÖTALANDS LÄN</t>
        </is>
      </c>
      <c r="G434" t="inlineStr">
        <is>
          <t>TANUM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45659</v>
      </c>
      <c r="E435" s="1" t="n">
        <v>46303</v>
      </c>
      <c r="F435" t="inlineStr">
        <is>
          <t>VÄSTRA GÖTALANDS LÄN</t>
        </is>
      </c>
      <c r="G435" t="inlineStr">
        <is>
          <t>TANUM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46303</v>
      </c>
      <c r="F436" t="inlineStr">
        <is>
          <t>VÄSTRA GÖTALANDS LÄN</t>
        </is>
      </c>
      <c r="G436" t="inlineStr">
        <is>
          <t>TANUM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46303</v>
      </c>
      <c r="F437" t="inlineStr">
        <is>
          <t>VÄSTRA GÖTALANDS LÄN</t>
        </is>
      </c>
      <c r="G437" t="inlineStr">
        <is>
          <t>TANUM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46303</v>
      </c>
      <c r="F438" t="inlineStr">
        <is>
          <t>VÄSTRA GÖTALANDS LÄN</t>
        </is>
      </c>
      <c r="G438" t="inlineStr">
        <is>
          <t>TANUM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46303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46303</v>
      </c>
      <c r="F440" t="inlineStr">
        <is>
          <t>VÄSTRA GÖTALANDS LÄN</t>
        </is>
      </c>
      <c r="G440" t="inlineStr">
        <is>
          <t>TANUM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46303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46272</v>
      </c>
      <c r="E442" s="1" t="n">
        <v>46303</v>
      </c>
      <c r="F442" t="inlineStr">
        <is>
          <t>VÄSTRA GÖTALANDS LÄN</t>
        </is>
      </c>
      <c r="G442" t="inlineStr">
        <is>
          <t>TANUM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46241-2023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45196</v>
      </c>
      <c r="E443" s="1" t="n">
        <v>46303</v>
      </c>
      <c r="F443" t="inlineStr">
        <is>
          <t>VÄSTRA GÖTALANDS LÄN</t>
        </is>
      </c>
      <c r="G443" t="inlineStr">
        <is>
          <t>TANUM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46303</v>
      </c>
      <c r="F444" t="inlineStr">
        <is>
          <t>VÄSTRA GÖTALANDS LÄN</t>
        </is>
      </c>
      <c r="G444" t="inlineStr">
        <is>
          <t>TANUM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46303</v>
      </c>
      <c r="F445" t="inlineStr">
        <is>
          <t>VÄSTRA GÖTALANDS LÄN</t>
        </is>
      </c>
      <c r="G445" t="inlineStr">
        <is>
          <t>TANUM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63132-2023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45273</v>
      </c>
      <c r="E446" s="1" t="n">
        <v>46303</v>
      </c>
      <c r="F446" t="inlineStr">
        <is>
          <t>VÄSTRA GÖTALANDS LÄN</t>
        </is>
      </c>
      <c r="G446" t="inlineStr">
        <is>
          <t>TANUM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31918-2026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46231</v>
      </c>
      <c r="E447" s="1" t="n">
        <v>46303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46303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45334</v>
      </c>
      <c r="E449" s="1" t="n">
        <v>46303</v>
      </c>
      <c r="F449" t="inlineStr">
        <is>
          <t>VÄSTRA GÖTALANDS LÄN</t>
        </is>
      </c>
      <c r="G449" t="inlineStr">
        <is>
          <t>TANUM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31968-2026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46231</v>
      </c>
      <c r="E450" s="1" t="n">
        <v>46303</v>
      </c>
      <c r="F450" t="inlineStr">
        <is>
          <t>VÄSTRA GÖTALANDS LÄN</t>
        </is>
      </c>
      <c r="G450" t="inlineStr">
        <is>
          <t>TANUM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46303</v>
      </c>
      <c r="F451" t="inlineStr">
        <is>
          <t>VÄSTRA GÖTALANDS LÄN</t>
        </is>
      </c>
      <c r="G451" t="inlineStr">
        <is>
          <t>TANUM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16471-2023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45026</v>
      </c>
      <c r="E452" s="1" t="n">
        <v>46303</v>
      </c>
      <c r="F452" t="inlineStr">
        <is>
          <t>VÄSTRA GÖTALANDS LÄN</t>
        </is>
      </c>
      <c r="G452" t="inlineStr">
        <is>
          <t>TANUM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46303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46276</v>
      </c>
      <c r="E454" s="1" t="n">
        <v>46303</v>
      </c>
      <c r="F454" t="inlineStr">
        <is>
          <t>VÄSTRA GÖTALANDS LÄN</t>
        </is>
      </c>
      <c r="G454" t="inlineStr">
        <is>
          <t>TANUM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46276</v>
      </c>
      <c r="E455" s="1" t="n">
        <v>46303</v>
      </c>
      <c r="F455" t="inlineStr">
        <is>
          <t>VÄSTRA GÖTALANDS LÄN</t>
        </is>
      </c>
      <c r="G455" t="inlineStr">
        <is>
          <t>TANUM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46303</v>
      </c>
      <c r="F456" t="inlineStr">
        <is>
          <t>VÄSTRA GÖTALANDS LÄN</t>
        </is>
      </c>
      <c r="G456" t="inlineStr">
        <is>
          <t>TANUM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46303</v>
      </c>
      <c r="F457" t="inlineStr">
        <is>
          <t>VÄSTRA GÖTALANDS LÄN</t>
        </is>
      </c>
      <c r="G457" t="inlineStr">
        <is>
          <t>TANUM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46241</v>
      </c>
      <c r="E458" s="1" t="n">
        <v>46303</v>
      </c>
      <c r="F458" t="inlineStr">
        <is>
          <t>VÄSTRA GÖTALANDS LÄN</t>
        </is>
      </c>
      <c r="G458" t="inlineStr">
        <is>
          <t>TANUM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39206-2026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46286</v>
      </c>
      <c r="E459" s="1" t="n">
        <v>46303</v>
      </c>
      <c r="F459" t="inlineStr">
        <is>
          <t>VÄSTRA GÖTALANDS LÄN</t>
        </is>
      </c>
      <c r="G459" t="inlineStr">
        <is>
          <t>TANUM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46303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46303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46247</v>
      </c>
      <c r="E462" s="1" t="n">
        <v>46303</v>
      </c>
      <c r="F462" t="inlineStr">
        <is>
          <t>VÄSTRA GÖTALANDS LÄN</t>
        </is>
      </c>
      <c r="G462" t="inlineStr">
        <is>
          <t>TANUM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46287</v>
      </c>
      <c r="E463" s="1" t="n">
        <v>46303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46303</v>
      </c>
      <c r="F464" t="inlineStr">
        <is>
          <t>VÄSTRA GÖTALANDS LÄN</t>
        </is>
      </c>
      <c r="G464" t="inlineStr">
        <is>
          <t>TANUM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46292</v>
      </c>
      <c r="E465" s="1" t="n">
        <v>46303</v>
      </c>
      <c r="F465" t="inlineStr">
        <is>
          <t>VÄSTRA GÖTALANDS LÄN</t>
        </is>
      </c>
      <c r="G465" t="inlineStr">
        <is>
          <t>TANUM</t>
        </is>
      </c>
      <c r="I465" t="n">
        <v>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40120-2026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46293</v>
      </c>
      <c r="E466" s="1" t="n">
        <v>46303</v>
      </c>
      <c r="F466" t="inlineStr">
        <is>
          <t>VÄSTRA GÖTALANDS LÄN</t>
        </is>
      </c>
      <c r="G466" t="inlineStr">
        <is>
          <t>TANUM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40276-2026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46294</v>
      </c>
      <c r="E467" s="1" t="n">
        <v>46303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46303</v>
      </c>
      <c r="F468" t="inlineStr">
        <is>
          <t>VÄSTRA GÖTALANDS LÄN</t>
        </is>
      </c>
      <c r="G468" t="inlineStr">
        <is>
          <t>TANUM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46303</v>
      </c>
      <c r="F469" t="inlineStr">
        <is>
          <t>VÄSTRA GÖTALANDS LÄN</t>
        </is>
      </c>
      <c r="G469" t="inlineStr">
        <is>
          <t>TANUM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41249-2026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46303</v>
      </c>
      <c r="F470" t="inlineStr">
        <is>
          <t>VÄSTRA GÖTALANDS LÄN</t>
        </is>
      </c>
      <c r="G470" t="inlineStr">
        <is>
          <t>TANUM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46259</v>
      </c>
      <c r="E471" s="1" t="n">
        <v>46303</v>
      </c>
      <c r="F471" t="inlineStr">
        <is>
          <t>VÄSTRA GÖTALANDS LÄN</t>
        </is>
      </c>
      <c r="G471" t="inlineStr">
        <is>
          <t>TANUM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46303</v>
      </c>
      <c r="F472" t="inlineStr">
        <is>
          <t>VÄSTRA GÖTALANDS LÄN</t>
        </is>
      </c>
      <c r="G472" t="inlineStr">
        <is>
          <t>TANUM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34848-2026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46258</v>
      </c>
      <c r="E473" s="1" t="n">
        <v>46303</v>
      </c>
      <c r="F473" t="inlineStr">
        <is>
          <t>VÄSTRA GÖTALANDS LÄN</t>
        </is>
      </c>
      <c r="G473" t="inlineStr">
        <is>
          <t>TANUM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46303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46303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46303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46303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46303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46303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2026-10-08T02:04:29Z</dcterms:created>
  <dcterms:modified xmlns:dcterms="http://purl.org/dc/terms/" xmlns:xsi="http://www.w3.org/2001/XMLSchema-instance" xsi:type="dcterms:W3CDTF">2026-10-08T02:04:29Z</dcterms:modified>
</cp:coreProperties>
</file>