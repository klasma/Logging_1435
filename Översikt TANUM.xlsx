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46219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46219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46219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46219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46219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46219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Y8">
        <f>HYPERLINK("https://klasma.github.io/Logging_1435/klagomål/A 59265-2024 FSC-klagomål.docx", "A 59265-2024")</f>
        <v/>
      </c>
      <c r="Z8">
        <f>HYPERLINK("https://klasma.github.io/Logging_1435/klagomålsmail/A 59265-2024 FSC-klagomål mail.docx", "A 59265-2024")</f>
        <v/>
      </c>
      <c r="AA8">
        <f>HYPERLINK("https://klasma.github.io/Logging_1435/tillsyn/A 59265-2024 tillsynsbegäran.docx", "A 59265-2024")</f>
        <v/>
      </c>
      <c r="AB8">
        <f>HYPERLINK("https://klasma.github.io/Logging_1435/tillsynsmail/A 59265-2024 tillsynsbegäran mail.docx", "A 59265-2024")</f>
        <v/>
      </c>
      <c r="AC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46219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Y9">
        <f>HYPERLINK("https://klasma.github.io/Logging_1435/klagomål/A 875-2026 FSC-klagomål.docx", "A 875-2026")</f>
        <v/>
      </c>
      <c r="Z9">
        <f>HYPERLINK("https://klasma.github.io/Logging_1435/klagomålsmail/A 875-2026 FSC-klagomål mail.docx", "A 875-2026")</f>
        <v/>
      </c>
      <c r="AA9">
        <f>HYPERLINK("https://klasma.github.io/Logging_1435/tillsyn/A 875-2026 tillsynsbegäran.docx", "A 875-2026")</f>
        <v/>
      </c>
      <c r="AB9">
        <f>HYPERLINK("https://klasma.github.io/Logging_1435/tillsynsmail/A 875-2026 tillsynsbegäran mail.docx", "A 875-2026")</f>
        <v/>
      </c>
      <c r="AC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46219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46219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s="2" t="inlineStr">
        <is>
          <t>Hasselsnok
Rödvingetrast
Spillkråka
Havsörn
Kungsfågel
Huggorm</t>
        </is>
      </c>
      <c r="V11">
        <f>HYPERLINK("https://klasma.github.io/Logging_1435/artfynd/A 15310-2024 artfynd.xlsx", "A 15310-2024")</f>
        <v/>
      </c>
      <c r="W11">
        <f>HYPERLINK("https://klasma.github.io/Logging_1435/kartor/A 15310-2024 karta.png", "A 15310-2024")</f>
        <v/>
      </c>
      <c r="Y11">
        <f>HYPERLINK("https://klasma.github.io/Logging_1435/klagomål/A 15310-2024 FSC-klagomål.docx", "A 15310-2024")</f>
        <v/>
      </c>
      <c r="Z11">
        <f>HYPERLINK("https://klasma.github.io/Logging_1435/klagomålsmail/A 15310-2024 FSC-klagomål mail.docx", "A 15310-2024")</f>
        <v/>
      </c>
      <c r="AA11">
        <f>HYPERLINK("https://klasma.github.io/Logging_1435/tillsyn/A 15310-2024 tillsynsbegäran.docx", "A 15310-2024")</f>
        <v/>
      </c>
      <c r="AB11">
        <f>HYPERLINK("https://klasma.github.io/Logging_1435/tillsynsmail/A 15310-2024 tillsynsbegäran mail.docx", "A 15310-2024")</f>
        <v/>
      </c>
      <c r="AC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46219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Entita
Grönsångare
Järnsparv
Mindre hackspett
Gröngöling
Svartvit flugsnappare</t>
        </is>
      </c>
      <c r="V12">
        <f>HYPERLINK("https://klasma.github.io/Logging_1435/artfynd/A 21363-2026 artfynd.xlsx", "A 21363-2026")</f>
        <v/>
      </c>
      <c r="W12">
        <f>HYPERLINK("https://klasma.github.io/Logging_1435/kartor/A 21363-2026 karta.png", "A 21363-2026")</f>
        <v/>
      </c>
      <c r="Y12">
        <f>HYPERLINK("https://klasma.github.io/Logging_1435/klagomål/A 21363-2026 FSC-klagomål.docx", "A 21363-2026")</f>
        <v/>
      </c>
      <c r="Z12">
        <f>HYPERLINK("https://klasma.github.io/Logging_1435/klagomålsmail/A 21363-2026 FSC-klagomål mail.docx", "A 21363-2026")</f>
        <v/>
      </c>
      <c r="AA12">
        <f>HYPERLINK("https://klasma.github.io/Logging_1435/tillsyn/A 21363-2026 tillsynsbegäran.docx", "A 21363-2026")</f>
        <v/>
      </c>
      <c r="AB12">
        <f>HYPERLINK("https://klasma.github.io/Logging_1435/tillsynsmail/A 21363-2026 tillsynsbegäran mail.docx", "A 21363-2026")</f>
        <v/>
      </c>
      <c r="AC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46219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Y13">
        <f>HYPERLINK("https://klasma.github.io/Logging_1435/klagomål/A 1706-2026 FSC-klagomål.docx", "A 1706-2026")</f>
        <v/>
      </c>
      <c r="Z13">
        <f>HYPERLINK("https://klasma.github.io/Logging_1435/klagomålsmail/A 1706-2026 FSC-klagomål mail.docx", "A 1706-2026")</f>
        <v/>
      </c>
      <c r="AA13">
        <f>HYPERLINK("https://klasma.github.io/Logging_1435/tillsyn/A 1706-2026 tillsynsbegäran.docx", "A 1706-2026")</f>
        <v/>
      </c>
      <c r="AB13">
        <f>HYPERLINK("https://klasma.github.io/Logging_1435/tillsynsmail/A 1706-2026 tillsynsbegäran mail.docx", "A 1706-2026")</f>
        <v/>
      </c>
      <c r="AC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46219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Y14">
        <f>HYPERLINK("https://klasma.github.io/Logging_1435/klagomål/A 13943-2023 FSC-klagomål.docx", "A 13943-2023")</f>
        <v/>
      </c>
      <c r="Z14">
        <f>HYPERLINK("https://klasma.github.io/Logging_1435/klagomålsmail/A 13943-2023 FSC-klagomål mail.docx", "A 13943-2023")</f>
        <v/>
      </c>
      <c r="AA14">
        <f>HYPERLINK("https://klasma.github.io/Logging_1435/tillsyn/A 13943-2023 tillsynsbegäran.docx", "A 13943-2023")</f>
        <v/>
      </c>
      <c r="AB14">
        <f>HYPERLINK("https://klasma.github.io/Logging_1435/tillsynsmail/A 13943-2023 tillsynsbegäran mail.docx", "A 13943-2023")</f>
        <v/>
      </c>
      <c r="AC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46219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Blåmossa
Rödgul trumpetsvamp
Stor revmossa
Revlummer</t>
        </is>
      </c>
      <c r="V15">
        <f>HYPERLINK("https://klasma.github.io/Logging_1435/artfynd/A 34080-2023 artfynd.xlsx", "A 34080-2023")</f>
        <v/>
      </c>
      <c r="W15">
        <f>HYPERLINK("https://klasma.github.io/Logging_1435/kartor/A 34080-2023 karta.png", "A 34080-2023")</f>
        <v/>
      </c>
      <c r="Y15">
        <f>HYPERLINK("https://klasma.github.io/Logging_1435/klagomål/A 34080-2023 FSC-klagomål.docx", "A 34080-2023")</f>
        <v/>
      </c>
      <c r="Z15">
        <f>HYPERLINK("https://klasma.github.io/Logging_1435/klagomålsmail/A 34080-2023 FSC-klagomål mail.docx", "A 34080-2023")</f>
        <v/>
      </c>
      <c r="AA15">
        <f>HYPERLINK("https://klasma.github.io/Logging_1435/tillsyn/A 34080-2023 tillsynsbegäran.docx", "A 34080-2023")</f>
        <v/>
      </c>
      <c r="AB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46219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s="2" t="inlineStr">
        <is>
          <t>Kattfotslav
Klippfrullania
Stor revmossa
Västlig hakmossa</t>
        </is>
      </c>
      <c r="V16">
        <f>HYPERLINK("https://klasma.github.io/Logging_1435/artfynd/A 19284-2022 artfynd.xlsx", "A 19284-2022")</f>
        <v/>
      </c>
      <c r="W16">
        <f>HYPERLINK("https://klasma.github.io/Logging_1435/kartor/A 19284-2022 karta.png", "A 19284-2022")</f>
        <v/>
      </c>
      <c r="Y16">
        <f>HYPERLINK("https://klasma.github.io/Logging_1435/klagomål/A 19284-2022 FSC-klagomål.docx", "A 19284-2022")</f>
        <v/>
      </c>
      <c r="Z16">
        <f>HYPERLINK("https://klasma.github.io/Logging_1435/klagomålsmail/A 19284-2022 FSC-klagomål mail.docx", "A 19284-2022")</f>
        <v/>
      </c>
      <c r="AA16">
        <f>HYPERLINK("https://klasma.github.io/Logging_1435/tillsyn/A 19284-2022 tillsynsbegäran.docx", "A 19284-2022")</f>
        <v/>
      </c>
      <c r="AB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46219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Blåmossa
Rävticka
Västlig hakmossa
Vågbandad barkbock</t>
        </is>
      </c>
      <c r="V17">
        <f>HYPERLINK("https://klasma.github.io/Logging_1435/artfynd/A 10901-2025 artfynd.xlsx", "A 10901-2025")</f>
        <v/>
      </c>
      <c r="W17">
        <f>HYPERLINK("https://klasma.github.io/Logging_1435/kartor/A 10901-2025 karta.png", "A 10901-2025")</f>
        <v/>
      </c>
      <c r="Y17">
        <f>HYPERLINK("https://klasma.github.io/Logging_1435/klagomål/A 10901-2025 FSC-klagomål.docx", "A 10901-2025")</f>
        <v/>
      </c>
      <c r="Z17">
        <f>HYPERLINK("https://klasma.github.io/Logging_1435/klagomålsmail/A 10901-2025 FSC-klagomål mail.docx", "A 10901-2025")</f>
        <v/>
      </c>
      <c r="AA17">
        <f>HYPERLINK("https://klasma.github.io/Logging_1435/tillsyn/A 10901-2025 tillsynsbegäran.docx", "A 10901-2025")</f>
        <v/>
      </c>
      <c r="AB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46219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Dropptaggsvamp
Tretåig hackspett
Tjäder
Kungsfågel</t>
        </is>
      </c>
      <c r="V18">
        <f>HYPERLINK("https://klasma.github.io/Logging_1435/artfynd/A 12684-2023 artfynd.xlsx", "A 12684-2023")</f>
        <v/>
      </c>
      <c r="W18">
        <f>HYPERLINK("https://klasma.github.io/Logging_1435/kartor/A 12684-2023 karta.png", "A 12684-2023")</f>
        <v/>
      </c>
      <c r="Y18">
        <f>HYPERLINK("https://klasma.github.io/Logging_1435/klagomål/A 12684-2023 FSC-klagomål.docx", "A 12684-2023")</f>
        <v/>
      </c>
      <c r="Z18">
        <f>HYPERLINK("https://klasma.github.io/Logging_1435/klagomålsmail/A 12684-2023 FSC-klagomål mail.docx", "A 12684-2023")</f>
        <v/>
      </c>
      <c r="AA18">
        <f>HYPERLINK("https://klasma.github.io/Logging_1435/tillsyn/A 12684-2023 tillsynsbegäran.docx", "A 12684-2023")</f>
        <v/>
      </c>
      <c r="AB18">
        <f>HYPERLINK("https://klasma.github.io/Logging_1435/tillsynsmail/A 12684-2023 tillsynsbegäran mail.docx", "A 12684-2023")</f>
        <v/>
      </c>
      <c r="AC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46219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46219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s="2" t="inlineStr">
        <is>
          <t>Knärot
Västlig hakmossa
Revlummer</t>
        </is>
      </c>
      <c r="V20">
        <f>HYPERLINK("https://klasma.github.io/Logging_1435/artfynd/A 46294-2023 artfynd.xlsx", "A 46294-2023")</f>
        <v/>
      </c>
      <c r="W20">
        <f>HYPERLINK("https://klasma.github.io/Logging_1435/kartor/A 46294-2023 karta.png", "A 46294-2023")</f>
        <v/>
      </c>
      <c r="X20">
        <f>HYPERLINK("https://klasma.github.io/Logging_1435/knärot/A 46294-2023 karta knärot.png", "A 46294-2023")</f>
        <v/>
      </c>
      <c r="Y20">
        <f>HYPERLINK("https://klasma.github.io/Logging_1435/klagomål/A 46294-2023 FSC-klagomål.docx", "A 46294-2023")</f>
        <v/>
      </c>
      <c r="Z20">
        <f>HYPERLINK("https://klasma.github.io/Logging_1435/klagomålsmail/A 46294-2023 FSC-klagomål mail.docx", "A 46294-2023")</f>
        <v/>
      </c>
      <c r="AA20">
        <f>HYPERLINK("https://klasma.github.io/Logging_1435/tillsyn/A 46294-2023 tillsynsbegäran.docx", "A 46294-2023")</f>
        <v/>
      </c>
      <c r="AB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46219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Mattlummer
Lopplummer (aggregat)
Revlummer</t>
        </is>
      </c>
      <c r="V21">
        <f>HYPERLINK("https://klasma.github.io/Logging_1435/artfynd/A 18199-2025 artfynd.xlsx", "A 18199-2025")</f>
        <v/>
      </c>
      <c r="W21">
        <f>HYPERLINK("https://klasma.github.io/Logging_1435/kartor/A 18199-2025 karta.png", "A 18199-2025")</f>
        <v/>
      </c>
      <c r="Y21">
        <f>HYPERLINK("https://klasma.github.io/Logging_1435/klagomål/A 18199-2025 FSC-klagomål.docx", "A 18199-2025")</f>
        <v/>
      </c>
      <c r="Z21">
        <f>HYPERLINK("https://klasma.github.io/Logging_1435/klagomålsmail/A 18199-2025 FSC-klagomål mail.docx", "A 18199-2025")</f>
        <v/>
      </c>
      <c r="AA21">
        <f>HYPERLINK("https://klasma.github.io/Logging_1435/tillsyn/A 18199-2025 tillsynsbegäran.docx", "A 18199-2025")</f>
        <v/>
      </c>
      <c r="AB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46219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s="2" t="inlineStr">
        <is>
          <t>Dofttaggsvamp
Orange taggsvamp
Skarp dropptaggsvamp</t>
        </is>
      </c>
      <c r="V22">
        <f>HYPERLINK("https://klasma.github.io/Logging_1435/artfynd/A 37930-2023 artfynd.xlsx", "A 37930-2023")</f>
        <v/>
      </c>
      <c r="W22">
        <f>HYPERLINK("https://klasma.github.io/Logging_1435/kartor/A 37930-2023 karta.png", "A 37930-2023")</f>
        <v/>
      </c>
      <c r="Y22">
        <f>HYPERLINK("https://klasma.github.io/Logging_1435/klagomål/A 37930-2023 FSC-klagomål.docx", "A 37930-2023")</f>
        <v/>
      </c>
      <c r="Z22">
        <f>HYPERLINK("https://klasma.github.io/Logging_1435/klagomålsmail/A 37930-2023 FSC-klagomål mail.docx", "A 37930-2023")</f>
        <v/>
      </c>
      <c r="AA22">
        <f>HYPERLINK("https://klasma.github.io/Logging_1435/tillsyn/A 37930-2023 tillsynsbegäran.docx", "A 37930-2023")</f>
        <v/>
      </c>
      <c r="AB22">
        <f>HYPERLINK("https://klasma.github.io/Logging_1435/tillsynsmail/A 37930-2023 tillsynsbegäran mail.docx", "A 37930-2023")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46219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46219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46219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Åkerrättika
Åkerkulla</t>
        </is>
      </c>
      <c r="V25">
        <f>HYPERLINK("https://klasma.github.io/Logging_1435/artfynd/A 40145-2021 artfynd.xlsx", "A 40145-2021")</f>
        <v/>
      </c>
      <c r="W25">
        <f>HYPERLINK("https://klasma.github.io/Logging_1435/kartor/A 40145-2021 karta.png", "A 40145-2021")</f>
        <v/>
      </c>
      <c r="Y25">
        <f>HYPERLINK("https://klasma.github.io/Logging_1435/klagomål/A 40145-2021 FSC-klagomål.docx", "A 40145-2021")</f>
        <v/>
      </c>
      <c r="Z25">
        <f>HYPERLINK("https://klasma.github.io/Logging_1435/klagomålsmail/A 40145-2021 FSC-klagomål mail.docx", "A 40145-2021")</f>
        <v/>
      </c>
      <c r="AA25">
        <f>HYPERLINK("https://klasma.github.io/Logging_1435/tillsyn/A 40145-2021 tillsynsbegäran.docx", "A 40145-2021")</f>
        <v/>
      </c>
      <c r="AB25">
        <f>HYPERLINK("https://klasma.github.io/Logging_1435/tillsynsmail/A 40145-2021 tillsynsbegäran mail.docx", "A 40145-2021")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46219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s="2" t="inlineStr">
        <is>
          <t>Tretåig hackspett
Rävticka</t>
        </is>
      </c>
      <c r="V26">
        <f>HYPERLINK("https://klasma.github.io/Logging_1435/artfynd/A 36154-2024 artfynd.xlsx", "A 36154-2024")</f>
        <v/>
      </c>
      <c r="W26">
        <f>HYPERLINK("https://klasma.github.io/Logging_1435/kartor/A 36154-2024 karta.png", "A 36154-2024")</f>
        <v/>
      </c>
      <c r="Y26">
        <f>HYPERLINK("https://klasma.github.io/Logging_1435/klagomål/A 36154-2024 FSC-klagomål.docx", "A 36154-2024")</f>
        <v/>
      </c>
      <c r="Z26">
        <f>HYPERLINK("https://klasma.github.io/Logging_1435/klagomålsmail/A 36154-2024 FSC-klagomål mail.docx", "A 36154-2024")</f>
        <v/>
      </c>
      <c r="AA26">
        <f>HYPERLINK("https://klasma.github.io/Logging_1435/tillsyn/A 36154-2024 tillsynsbegäran.docx", "A 36154-2024")</f>
        <v/>
      </c>
      <c r="AB26">
        <f>HYPERLINK("https://klasma.github.io/Logging_1435/tillsynsmail/A 36154-2024 tillsynsbegäran mail.docx", "A 36154-2024")</f>
        <v/>
      </c>
      <c r="AC26">
        <f>HYPERLINK("https://klasma.github.io/Logging_1435/fåglar/A 36154-2024 prioriterade fågelarter.docx", "A 36154-2024")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46219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Vedskivlav
Spillkråka</t>
        </is>
      </c>
      <c r="V27">
        <f>HYPERLINK("https://klasma.github.io/Logging_1435/artfynd/A 8586-2022 artfynd.xlsx", "A 8586-2022")</f>
        <v/>
      </c>
      <c r="W27">
        <f>HYPERLINK("https://klasma.github.io/Logging_1435/kartor/A 8586-2022 karta.png", "A 8586-2022")</f>
        <v/>
      </c>
      <c r="Y27">
        <f>HYPERLINK("https://klasma.github.io/Logging_1435/klagomål/A 8586-2022 FSC-klagomål.docx", "A 8586-2022")</f>
        <v/>
      </c>
      <c r="Z27">
        <f>HYPERLINK("https://klasma.github.io/Logging_1435/klagomålsmail/A 8586-2022 FSC-klagomål mail.docx", "A 8586-2022")</f>
        <v/>
      </c>
      <c r="AA27">
        <f>HYPERLINK("https://klasma.github.io/Logging_1435/tillsyn/A 8586-2022 tillsynsbegäran.docx", "A 8586-2022")</f>
        <v/>
      </c>
      <c r="AB27">
        <f>HYPERLINK("https://klasma.github.io/Logging_1435/tillsynsmail/A 8586-2022 tillsynsbegäran mail.docx", "A 8586-2022")</f>
        <v/>
      </c>
      <c r="AC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46219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Lopplummer (aggregat)
Revlummer</t>
        </is>
      </c>
      <c r="V28">
        <f>HYPERLINK("https://klasma.github.io/Logging_1435/artfynd/A 63439-2023 artfynd.xlsx", "A 63439-2023")</f>
        <v/>
      </c>
      <c r="W28">
        <f>HYPERLINK("https://klasma.github.io/Logging_1435/kartor/A 63439-2023 karta.png", "A 63439-2023")</f>
        <v/>
      </c>
      <c r="Y28">
        <f>HYPERLINK("https://klasma.github.io/Logging_1435/klagomål/A 63439-2023 FSC-klagomål.docx", "A 63439-2023")</f>
        <v/>
      </c>
      <c r="Z28">
        <f>HYPERLINK("https://klasma.github.io/Logging_1435/klagomålsmail/A 63439-2023 FSC-klagomål mail.docx", "A 63439-2023")</f>
        <v/>
      </c>
      <c r="AA28">
        <f>HYPERLINK("https://klasma.github.io/Logging_1435/tillsyn/A 63439-2023 tillsynsbegäran.docx", "A 63439-2023")</f>
        <v/>
      </c>
      <c r="AB28">
        <f>HYPERLINK("https://klasma.github.io/Logging_1435/tillsynsmail/A 63439-2023 tillsynsbegäran mail.docx", "A 63439-2023")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46219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s="2" t="inlineStr">
        <is>
          <t>Fällmossa
Västlig hakmossa</t>
        </is>
      </c>
      <c r="V29">
        <f>HYPERLINK("https://klasma.github.io/Logging_1435/artfynd/A 3497-2024 artfynd.xlsx", "A 3497-2024")</f>
        <v/>
      </c>
      <c r="W29">
        <f>HYPERLINK("https://klasma.github.io/Logging_1435/kartor/A 3497-2024 karta.png", "A 3497-2024")</f>
        <v/>
      </c>
      <c r="Y29">
        <f>HYPERLINK("https://klasma.github.io/Logging_1435/klagomål/A 3497-2024 FSC-klagomål.docx", "A 3497-2024")</f>
        <v/>
      </c>
      <c r="Z29">
        <f>HYPERLINK("https://klasma.github.io/Logging_1435/klagomålsmail/A 3497-2024 FSC-klagomål mail.docx", "A 3497-2024")</f>
        <v/>
      </c>
      <c r="AA29">
        <f>HYPERLINK("https://klasma.github.io/Logging_1435/tillsyn/A 3497-2024 tillsynsbegäran.docx", "A 3497-2024")</f>
        <v/>
      </c>
      <c r="AB29">
        <f>HYPERLINK("https://klasma.github.io/Logging_1435/tillsynsmail/A 3497-2024 tillsynsbegäran mail.docx", "A 3497-2024")</f>
        <v/>
      </c>
    </row>
    <row r="30" ht="15" customHeight="1">
      <c r="A30" t="inlineStr">
        <is>
          <t>A 20799-2026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46219</v>
      </c>
      <c r="F30" t="inlineStr">
        <is>
          <t>VÄSTRA GÖTALANDS LÄN</t>
        </is>
      </c>
      <c r="G30" t="inlineStr">
        <is>
          <t>TANUM</t>
        </is>
      </c>
      <c r="I30" t="n">
        <v>4.9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Blåmossa
Rödgul trumpetsvamp</t>
        </is>
      </c>
      <c r="V30">
        <f>HYPERLINK("https://klasma.github.io/Logging_1435/artfynd/A 20799-2026 artfynd.xlsx", "A 20799-2026")</f>
        <v/>
      </c>
      <c r="W30">
        <f>HYPERLINK("https://klasma.github.io/Logging_1435/kartor/A 20799-2026 karta.png", "A 20799-2026")</f>
        <v/>
      </c>
      <c r="Y30">
        <f>HYPERLINK("https://klasma.github.io/Logging_1435/klagomål/A 20799-2026 FSC-klagomål.docx", "A 20799-2026")</f>
        <v/>
      </c>
      <c r="Z30">
        <f>HYPERLINK("https://klasma.github.io/Logging_1435/klagomålsmail/A 20799-2026 FSC-klagomål mail.docx", "A 20799-2026")</f>
        <v/>
      </c>
      <c r="AA30">
        <f>HYPERLINK("https://klasma.github.io/Logging_1435/tillsyn/A 20799-2026 tillsynsbegäran.docx", "A 20799-2026")</f>
        <v/>
      </c>
      <c r="AB30">
        <f>HYPERLINK("https://klasma.github.io/Logging_1435/tillsynsmail/A 20799-2026 tillsynsbegäran mail.docx", "A 20799-2026")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46219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46219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46219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46219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50891-2021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46219</v>
      </c>
      <c r="F35" t="inlineStr">
        <is>
          <t>VÄSTRA GÖTALANDS LÄN</t>
        </is>
      </c>
      <c r="G35" t="inlineStr">
        <is>
          <t>TANUM</t>
        </is>
      </c>
      <c r="I35" t="n">
        <v>3.5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Klippfrullania</t>
        </is>
      </c>
      <c r="V35">
        <f>HYPERLINK("https://klasma.github.io/Logging_1435/artfynd/A 50891-2021 artfynd.xlsx", "A 50891-2021")</f>
        <v/>
      </c>
      <c r="W35">
        <f>HYPERLINK("https://klasma.github.io/Logging_1435/kartor/A 50891-2021 karta.png", "A 50891-2021")</f>
        <v/>
      </c>
      <c r="Y35">
        <f>HYPERLINK("https://klasma.github.io/Logging_1435/klagomål/A 50891-2021 FSC-klagomål.docx", "A 50891-2021")</f>
        <v/>
      </c>
      <c r="Z35">
        <f>HYPERLINK("https://klasma.github.io/Logging_1435/klagomålsmail/A 50891-2021 FSC-klagomål mail.docx", "A 50891-2021")</f>
        <v/>
      </c>
      <c r="AA35">
        <f>HYPERLINK("https://klasma.github.io/Logging_1435/tillsyn/A 50891-2021 tillsynsbegäran.docx", "A 50891-2021")</f>
        <v/>
      </c>
      <c r="AB35">
        <f>HYPERLINK("https://klasma.github.io/Logging_1435/tillsynsmail/A 50891-2021 tillsynsbegäran mail.docx", "A 50891-2021")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46219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HYPERLINK("https://klasma.github.io/Logging_1435/artfynd/A 54814-2023 artfynd.xlsx", "A 54814-2023")</f>
        <v/>
      </c>
      <c r="W36">
        <f>HYPERLINK("https://klasma.github.io/Logging_1435/kartor/A 54814-2023 karta.png", "A 54814-2023")</f>
        <v/>
      </c>
      <c r="Y36">
        <f>HYPERLINK("https://klasma.github.io/Logging_1435/klagomål/A 54814-2023 FSC-klagomål.docx", "A 54814-2023")</f>
        <v/>
      </c>
      <c r="Z36">
        <f>HYPERLINK("https://klasma.github.io/Logging_1435/klagomålsmail/A 54814-2023 FSC-klagomål mail.docx", "A 54814-2023")</f>
        <v/>
      </c>
      <c r="AA36">
        <f>HYPERLINK("https://klasma.github.io/Logging_1435/tillsyn/A 54814-2023 tillsynsbegäran.docx", "A 54814-2023")</f>
        <v/>
      </c>
      <c r="AB36">
        <f>HYPERLINK("https://klasma.github.io/Logging_1435/tillsynsmail/A 54814-2023 tillsynsbegäran mail.docx", "A 54814-2023")</f>
        <v/>
      </c>
      <c r="AC36">
        <f>HYPERLINK("https://klasma.github.io/Logging_1435/fåglar/A 54814-2023 prioriterade fågelarter.docx", "A 54814-2023")</f>
        <v/>
      </c>
    </row>
    <row r="37" ht="15" customHeight="1">
      <c r="A37" t="inlineStr">
        <is>
          <t>A 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46219</v>
      </c>
      <c r="F37" t="inlineStr">
        <is>
          <t>VÄSTRA GÖTALANDS LÄN</t>
        </is>
      </c>
      <c r="G37" t="inlineStr">
        <is>
          <t>TANUM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Stallört</t>
        </is>
      </c>
      <c r="V37">
        <f>HYPERLINK("https://klasma.github.io/Logging_1435/artfynd/A 125-2025 artfynd.xlsx", "A 125-2025")</f>
        <v/>
      </c>
      <c r="W37">
        <f>HYPERLINK("https://klasma.github.io/Logging_1435/kartor/A 125-2025 karta.png", "A 125-2025")</f>
        <v/>
      </c>
      <c r="Y37">
        <f>HYPERLINK("https://klasma.github.io/Logging_1435/klagomål/A 125-2025 FSC-klagomål.docx", "A 125-2025")</f>
        <v/>
      </c>
      <c r="Z37">
        <f>HYPERLINK("https://klasma.github.io/Logging_1435/klagomålsmail/A 125-2025 FSC-klagomål mail.docx", "A 125-2025")</f>
        <v/>
      </c>
      <c r="AA37">
        <f>HYPERLINK("https://klasma.github.io/Logging_1435/tillsyn/A 125-2025 tillsynsbegäran.docx", "A 125-2025")</f>
        <v/>
      </c>
      <c r="AB37">
        <f>HYPERLINK("https://klasma.github.io/Logging_1435/tillsynsmail/A 125-2025 tillsynsbegäran mail.docx", "A 125-2025")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46219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Blåsippa</t>
        </is>
      </c>
      <c r="V38">
        <f>HYPERLINK("https://klasma.github.io/Logging_1435/artfynd/A 23151-2022 artfynd.xlsx", "A 23151-2022")</f>
        <v/>
      </c>
      <c r="W38">
        <f>HYPERLINK("https://klasma.github.io/Logging_1435/kartor/A 23151-2022 karta.png", "A 23151-2022")</f>
        <v/>
      </c>
      <c r="Y38">
        <f>HYPERLINK("https://klasma.github.io/Logging_1435/klagomål/A 23151-2022 FSC-klagomål.docx", "A 23151-2022")</f>
        <v/>
      </c>
      <c r="Z38">
        <f>HYPERLINK("https://klasma.github.io/Logging_1435/klagomålsmail/A 23151-2022 FSC-klagomål mail.docx", "A 23151-2022")</f>
        <v/>
      </c>
      <c r="AA38">
        <f>HYPERLINK("https://klasma.github.io/Logging_1435/tillsyn/A 23151-2022 tillsynsbegäran.docx", "A 23151-2022")</f>
        <v/>
      </c>
      <c r="AB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46219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HYPERLINK("https://klasma.github.io/Logging_1435/artfynd/A 39358-2025 artfynd.xlsx", "A 39358-2025")</f>
        <v/>
      </c>
      <c r="W39">
        <f>HYPERLINK("https://klasma.github.io/Logging_1435/kartor/A 39358-2025 karta.png", "A 39358-2025")</f>
        <v/>
      </c>
      <c r="Y39">
        <f>HYPERLINK("https://klasma.github.io/Logging_1435/klagomål/A 39358-2025 FSC-klagomål.docx", "A 39358-2025")</f>
        <v/>
      </c>
      <c r="Z39">
        <f>HYPERLINK("https://klasma.github.io/Logging_1435/klagomålsmail/A 39358-2025 FSC-klagomål mail.docx", "A 39358-2025")</f>
        <v/>
      </c>
      <c r="AA39">
        <f>HYPERLINK("https://klasma.github.io/Logging_1435/tillsyn/A 39358-2025 tillsynsbegäran.docx", "A 39358-2025")</f>
        <v/>
      </c>
      <c r="AB39">
        <f>HYPERLINK("https://klasma.github.io/Logging_1435/tillsynsmail/A 39358-2025 tillsynsbegäran mail.docx", "A 39358-2025")</f>
        <v/>
      </c>
    </row>
    <row r="40" ht="15" customHeight="1">
      <c r="A40" t="inlineStr">
        <is>
          <t>A 4208-2025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45685</v>
      </c>
      <c r="E40" s="1" t="n">
        <v>46219</v>
      </c>
      <c r="F40" t="inlineStr">
        <is>
          <t>VÄSTRA GÖTALANDS LÄN</t>
        </is>
      </c>
      <c r="G40" t="inlineStr">
        <is>
          <t>TANUM</t>
        </is>
      </c>
      <c r="I40" t="n">
        <v>19.3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HYPERLINK("https://klasma.github.io/Logging_1435/artfynd/A 4208-2025 artfynd.xlsx", "A 4208-2025")</f>
        <v/>
      </c>
      <c r="W40">
        <f>HYPERLINK("https://klasma.github.io/Logging_1435/kartor/A 4208-2025 karta.png", "A 4208-2025")</f>
        <v/>
      </c>
      <c r="Y40">
        <f>HYPERLINK("https://klasma.github.io/Logging_1435/klagomål/A 4208-2025 FSC-klagomål.docx", "A 4208-2025")</f>
        <v/>
      </c>
      <c r="Z40">
        <f>HYPERLINK("https://klasma.github.io/Logging_1435/klagomålsmail/A 4208-2025 FSC-klagomål mail.docx", "A 4208-2025")</f>
        <v/>
      </c>
      <c r="AA40">
        <f>HYPERLINK("https://klasma.github.io/Logging_1435/tillsyn/A 4208-2025 tillsynsbegäran.docx", "A 4208-2025")</f>
        <v/>
      </c>
      <c r="AB40">
        <f>HYPERLINK("https://klasma.github.io/Logging_1435/tillsynsmail/A 4208-2025 tillsynsbegäran mail.docx", "A 4208-2025")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46219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Tretåig hackspett</t>
        </is>
      </c>
      <c r="V41">
        <f>HYPERLINK("https://klasma.github.io/Logging_1435/artfynd/A 53397-2022 artfynd.xlsx", "A 53397-2022")</f>
        <v/>
      </c>
      <c r="W41">
        <f>HYPERLINK("https://klasma.github.io/Logging_1435/kartor/A 53397-2022 karta.png", "A 53397-2022")</f>
        <v/>
      </c>
      <c r="Y41">
        <f>HYPERLINK("https://klasma.github.io/Logging_1435/klagomål/A 53397-2022 FSC-klagomål.docx", "A 53397-2022")</f>
        <v/>
      </c>
      <c r="Z41">
        <f>HYPERLINK("https://klasma.github.io/Logging_1435/klagomålsmail/A 53397-2022 FSC-klagomål mail.docx", "A 53397-2022")</f>
        <v/>
      </c>
      <c r="AA41">
        <f>HYPERLINK("https://klasma.github.io/Logging_1435/tillsyn/A 53397-2022 tillsynsbegäran.docx", "A 53397-2022")</f>
        <v/>
      </c>
      <c r="AB41">
        <f>HYPERLINK("https://klasma.github.io/Logging_1435/tillsynsmail/A 53397-2022 tillsynsbegäran mail.docx", "A 53397-2022")</f>
        <v/>
      </c>
      <c r="AC41">
        <f>HYPERLINK("https://klasma.github.io/Logging_1435/fåglar/A 53397-2022 prioriterade fågelarter.docx", "A 53397-2022")</f>
        <v/>
      </c>
    </row>
    <row r="42" ht="15" customHeight="1">
      <c r="A42" t="inlineStr">
        <is>
          <t>A 13437-2024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45387</v>
      </c>
      <c r="E42" s="1" t="n">
        <v>46219</v>
      </c>
      <c r="F42" t="inlineStr">
        <is>
          <t>VÄSTRA GÖTALANDS LÄN</t>
        </is>
      </c>
      <c r="G42" t="inlineStr">
        <is>
          <t>TANUM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Mattlummer</t>
        </is>
      </c>
      <c r="V42">
        <f>HYPERLINK("https://klasma.github.io/Logging_1435/artfynd/A 13437-2024 artfynd.xlsx", "A 13437-2024")</f>
        <v/>
      </c>
      <c r="W42">
        <f>HYPERLINK("https://klasma.github.io/Logging_1435/kartor/A 13437-2024 karta.png", "A 13437-2024")</f>
        <v/>
      </c>
      <c r="Y42">
        <f>HYPERLINK("https://klasma.github.io/Logging_1435/klagomål/A 13437-2024 FSC-klagomål.docx", "A 13437-2024")</f>
        <v/>
      </c>
      <c r="Z42">
        <f>HYPERLINK("https://klasma.github.io/Logging_1435/klagomålsmail/A 13437-2024 FSC-klagomål mail.docx", "A 13437-2024")</f>
        <v/>
      </c>
      <c r="AA42">
        <f>HYPERLINK("https://klasma.github.io/Logging_1435/tillsyn/A 13437-2024 tillsynsbegäran.docx", "A 13437-2024")</f>
        <v/>
      </c>
      <c r="AB42">
        <f>HYPERLINK("https://klasma.github.io/Logging_1435/tillsynsmail/A 13437-2024 tillsynsbegäran mail.docx", "A 13437-2024")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46219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Spindelblomster</t>
        </is>
      </c>
      <c r="V43">
        <f>HYPERLINK("https://klasma.github.io/Logging_1435/artfynd/A 10764-2025 artfynd.xlsx", "A 10764-2025")</f>
        <v/>
      </c>
      <c r="W43">
        <f>HYPERLINK("https://klasma.github.io/Logging_1435/kartor/A 10764-2025 karta.png", "A 10764-2025")</f>
        <v/>
      </c>
      <c r="Y43">
        <f>HYPERLINK("https://klasma.github.io/Logging_1435/klagomål/A 10764-2025 FSC-klagomål.docx", "A 10764-2025")</f>
        <v/>
      </c>
      <c r="Z43">
        <f>HYPERLINK("https://klasma.github.io/Logging_1435/klagomålsmail/A 10764-2025 FSC-klagomål mail.docx", "A 10764-2025")</f>
        <v/>
      </c>
      <c r="AA43">
        <f>HYPERLINK("https://klasma.github.io/Logging_1435/tillsyn/A 10764-2025 tillsynsbegäran.docx", "A 10764-2025")</f>
        <v/>
      </c>
      <c r="AB43">
        <f>HYPERLINK("https://klasma.github.io/Logging_1435/tillsynsmail/A 10764-2025 tillsynsbegäran mail.docx", "A 10764-2025")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46219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HYPERLINK("https://klasma.github.io/Logging_1435/artfynd/A 57972-2025 artfynd.xlsx", "A 57972-2025")</f>
        <v/>
      </c>
      <c r="W44">
        <f>HYPERLINK("https://klasma.github.io/Logging_1435/kartor/A 57972-2025 karta.png", "A 57972-2025")</f>
        <v/>
      </c>
      <c r="Y44">
        <f>HYPERLINK("https://klasma.github.io/Logging_1435/klagomål/A 57972-2025 FSC-klagomål.docx", "A 57972-2025")</f>
        <v/>
      </c>
      <c r="Z44">
        <f>HYPERLINK("https://klasma.github.io/Logging_1435/klagomålsmail/A 57972-2025 FSC-klagomål mail.docx", "A 57972-2025")</f>
        <v/>
      </c>
      <c r="AA44">
        <f>HYPERLINK("https://klasma.github.io/Logging_1435/tillsyn/A 57972-2025 tillsynsbegäran.docx", "A 57972-2025")</f>
        <v/>
      </c>
      <c r="AB44">
        <f>HYPERLINK("https://klasma.github.io/Logging_1435/tillsynsmail/A 57972-2025 tillsynsbegäran mail.docx", "A 57972-2025")</f>
        <v/>
      </c>
      <c r="AC44">
        <f>HYPERLINK("https://klasma.github.io/Logging_1435/fåglar/A 57972-2025 prioriterade fågelarter.docx", "A 57972-2025")</f>
        <v/>
      </c>
    </row>
    <row r="45" ht="15" customHeight="1">
      <c r="A45" t="inlineStr">
        <is>
          <t>A 46044-2023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46219</v>
      </c>
      <c r="F45" t="inlineStr">
        <is>
          <t>VÄSTRA GÖTALANDS LÄN</t>
        </is>
      </c>
      <c r="G45" t="inlineStr">
        <is>
          <t>TANUM</t>
        </is>
      </c>
      <c r="I45" t="n">
        <v>33.6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Korallblylav</t>
        </is>
      </c>
      <c r="V45">
        <f>HYPERLINK("https://klasma.github.io/Logging_1435/artfynd/A 46044-2023 artfynd.xlsx", "A 46044-2023")</f>
        <v/>
      </c>
      <c r="W45">
        <f>HYPERLINK("https://klasma.github.io/Logging_1435/kartor/A 46044-2023 karta.png", "A 46044-2023")</f>
        <v/>
      </c>
      <c r="Y45">
        <f>HYPERLINK("https://klasma.github.io/Logging_1435/klagomål/A 46044-2023 FSC-klagomål.docx", "A 46044-2023")</f>
        <v/>
      </c>
      <c r="Z45">
        <f>HYPERLINK("https://klasma.github.io/Logging_1435/klagomålsmail/A 46044-2023 FSC-klagomål mail.docx", "A 46044-2023")</f>
        <v/>
      </c>
      <c r="AA45">
        <f>HYPERLINK("https://klasma.github.io/Logging_1435/tillsyn/A 46044-2023 tillsynsbegäran.docx", "A 46044-2023")</f>
        <v/>
      </c>
      <c r="AB45">
        <f>HYPERLINK("https://klasma.github.io/Logging_1435/tillsynsmail/A 46044-2023 tillsynsbegäran mail.docx", "A 46044-2023")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46219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Svinrot</t>
        </is>
      </c>
      <c r="V46">
        <f>HYPERLINK("https://klasma.github.io/Logging_1435/artfynd/A 9276-2026 artfynd.xlsx", "A 9276-2026")</f>
        <v/>
      </c>
      <c r="W46">
        <f>HYPERLINK("https://klasma.github.io/Logging_1435/kartor/A 9276-2026 karta.png", "A 9276-2026")</f>
        <v/>
      </c>
      <c r="Y46">
        <f>HYPERLINK("https://klasma.github.io/Logging_1435/klagomål/A 9276-2026 FSC-klagomål.docx", "A 9276-2026")</f>
        <v/>
      </c>
      <c r="Z46">
        <f>HYPERLINK("https://klasma.github.io/Logging_1435/klagomålsmail/A 9276-2026 FSC-klagomål mail.docx", "A 9276-2026")</f>
        <v/>
      </c>
      <c r="AA46">
        <f>HYPERLINK("https://klasma.github.io/Logging_1435/tillsyn/A 9276-2026 tillsynsbegäran.docx", "A 9276-2026")</f>
        <v/>
      </c>
      <c r="AB46">
        <f>HYPERLINK("https://klasma.github.io/Logging_1435/tillsynsmail/A 9276-2026 tillsynsbegäran mail.docx", "A 9276-2026")</f>
        <v/>
      </c>
    </row>
    <row r="47" ht="15" customHeight="1">
      <c r="A47" t="inlineStr">
        <is>
          <t>A 23149-2025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46219</v>
      </c>
      <c r="F47" t="inlineStr">
        <is>
          <t>VÄSTRA GÖTALANDS LÄN</t>
        </is>
      </c>
      <c r="G47" t="inlineStr">
        <is>
          <t>TANUM</t>
        </is>
      </c>
      <c r="I47" t="n">
        <v>9.9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Lopplummer (aggregat)</t>
        </is>
      </c>
      <c r="V47">
        <f>HYPERLINK("https://klasma.github.io/Logging_1435/artfynd/A 23149-2025 artfynd.xlsx", "A 23149-2025")</f>
        <v/>
      </c>
      <c r="W47">
        <f>HYPERLINK("https://klasma.github.io/Logging_1435/kartor/A 23149-2025 karta.png", "A 23149-2025")</f>
        <v/>
      </c>
      <c r="Y47">
        <f>HYPERLINK("https://klasma.github.io/Logging_1435/klagomål/A 23149-2025 FSC-klagomål.docx", "A 23149-2025")</f>
        <v/>
      </c>
      <c r="Z47">
        <f>HYPERLINK("https://klasma.github.io/Logging_1435/klagomålsmail/A 23149-2025 FSC-klagomål mail.docx", "A 23149-2025")</f>
        <v/>
      </c>
      <c r="AA47">
        <f>HYPERLINK("https://klasma.github.io/Logging_1435/tillsyn/A 23149-2025 tillsynsbegäran.docx", "A 23149-2025")</f>
        <v/>
      </c>
      <c r="AB47">
        <f>HYPERLINK("https://klasma.github.io/Logging_1435/tillsynsmail/A 23149-2025 tillsynsbegäran mail.docx", "A 23149-2025")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46219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Hasselsnok</t>
        </is>
      </c>
      <c r="V48">
        <f>HYPERLINK("https://klasma.github.io/Logging_1435/artfynd/A 57566-2023 artfynd.xlsx", "A 57566-2023")</f>
        <v/>
      </c>
      <c r="W48">
        <f>HYPERLINK("https://klasma.github.io/Logging_1435/kartor/A 57566-2023 karta.png", "A 57566-2023")</f>
        <v/>
      </c>
      <c r="Y48">
        <f>HYPERLINK("https://klasma.github.io/Logging_1435/klagomål/A 57566-2023 FSC-klagomål.docx", "A 57566-2023")</f>
        <v/>
      </c>
      <c r="Z48">
        <f>HYPERLINK("https://klasma.github.io/Logging_1435/klagomålsmail/A 57566-2023 FSC-klagomål mail.docx", "A 57566-2023")</f>
        <v/>
      </c>
      <c r="AA48">
        <f>HYPERLINK("https://klasma.github.io/Logging_1435/tillsyn/A 57566-2023 tillsynsbegäran.docx", "A 57566-2023")</f>
        <v/>
      </c>
      <c r="AB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46219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HYPERLINK("https://klasma.github.io/Logging_1435/artfynd/A 57965-2023 artfynd.xlsx", "A 57965-2023")</f>
        <v/>
      </c>
      <c r="W49">
        <f>HYPERLINK("https://klasma.github.io/Logging_1435/kartor/A 57965-2023 karta.png", "A 57965-2023")</f>
        <v/>
      </c>
      <c r="Y49">
        <f>HYPERLINK("https://klasma.github.io/Logging_1435/klagomål/A 57965-2023 FSC-klagomål.docx", "A 57965-2023")</f>
        <v/>
      </c>
      <c r="Z49">
        <f>HYPERLINK("https://klasma.github.io/Logging_1435/klagomålsmail/A 57965-2023 FSC-klagomål mail.docx", "A 57965-2023")</f>
        <v/>
      </c>
      <c r="AA49">
        <f>HYPERLINK("https://klasma.github.io/Logging_1435/tillsyn/A 57965-2023 tillsynsbegäran.docx", "A 57965-2023")</f>
        <v/>
      </c>
      <c r="AB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46219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Springkorn</t>
        </is>
      </c>
      <c r="V50">
        <f>HYPERLINK("https://klasma.github.io/Logging_1435/artfynd/A 9698-2024 artfynd.xlsx", "A 9698-2024")</f>
        <v/>
      </c>
      <c r="W50">
        <f>HYPERLINK("https://klasma.github.io/Logging_1435/kartor/A 9698-2024 karta.png", "A 9698-2024")</f>
        <v/>
      </c>
      <c r="Y50">
        <f>HYPERLINK("https://klasma.github.io/Logging_1435/klagomål/A 9698-2024 FSC-klagomål.docx", "A 9698-2024")</f>
        <v/>
      </c>
      <c r="Z50">
        <f>HYPERLINK("https://klasma.github.io/Logging_1435/klagomålsmail/A 9698-2024 FSC-klagomål mail.docx", "A 9698-2024")</f>
        <v/>
      </c>
      <c r="AA50">
        <f>HYPERLINK("https://klasma.github.io/Logging_1435/tillsyn/A 9698-2024 tillsynsbegäran.docx", "A 9698-2024")</f>
        <v/>
      </c>
      <c r="AB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46219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Spindelblomster</t>
        </is>
      </c>
      <c r="V51">
        <f>HYPERLINK("https://klasma.github.io/Logging_1435/artfynd/A 19343-2025 artfynd.xlsx", "A 19343-2025")</f>
        <v/>
      </c>
      <c r="W51">
        <f>HYPERLINK("https://klasma.github.io/Logging_1435/kartor/A 19343-2025 karta.png", "A 19343-2025")</f>
        <v/>
      </c>
      <c r="Y51">
        <f>HYPERLINK("https://klasma.github.io/Logging_1435/klagomål/A 19343-2025 FSC-klagomål.docx", "A 19343-2025")</f>
        <v/>
      </c>
      <c r="Z51">
        <f>HYPERLINK("https://klasma.github.io/Logging_1435/klagomålsmail/A 19343-2025 FSC-klagomål mail.docx", "A 19343-2025")</f>
        <v/>
      </c>
      <c r="AA51">
        <f>HYPERLINK("https://klasma.github.io/Logging_1435/tillsyn/A 19343-2025 tillsynsbegäran.docx", "A 19343-2025")</f>
        <v/>
      </c>
      <c r="AB51">
        <f>HYPERLINK("https://klasma.github.io/Logging_1435/tillsynsmail/A 19343-2025 tillsynsbegäran mail.docx", "A 19343-2025")</f>
        <v/>
      </c>
    </row>
    <row r="52" ht="15" customHeight="1">
      <c r="A52" t="inlineStr">
        <is>
          <t>A 14821-2026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46103</v>
      </c>
      <c r="E52" s="1" t="n">
        <v>46219</v>
      </c>
      <c r="F52" t="inlineStr">
        <is>
          <t>VÄSTRA GÖTALANDS LÄN</t>
        </is>
      </c>
      <c r="G52" t="inlineStr">
        <is>
          <t>TANUM</t>
        </is>
      </c>
      <c r="I52" t="n">
        <v>2.9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HYPERLINK("https://klasma.github.io/Logging_1435/artfynd/A 14821-2026 artfynd.xlsx", "A 14821-2026")</f>
        <v/>
      </c>
      <c r="W52">
        <f>HYPERLINK("https://klasma.github.io/Logging_1435/kartor/A 14821-2026 karta.png", "A 14821-2026")</f>
        <v/>
      </c>
      <c r="X52">
        <f>HYPERLINK("https://klasma.github.io/Logging_1435/knärot/A 14821-2026 karta knärot.png", "A 14821-2026")</f>
        <v/>
      </c>
      <c r="Y52">
        <f>HYPERLINK("https://klasma.github.io/Logging_1435/klagomål/A 14821-2026 FSC-klagomål.docx", "A 14821-2026")</f>
        <v/>
      </c>
      <c r="Z52">
        <f>HYPERLINK("https://klasma.github.io/Logging_1435/klagomålsmail/A 14821-2026 FSC-klagomål mail.docx", "A 14821-2026")</f>
        <v/>
      </c>
      <c r="AA52">
        <f>HYPERLINK("https://klasma.github.io/Logging_1435/tillsyn/A 14821-2026 tillsynsbegäran.docx", "A 14821-2026")</f>
        <v/>
      </c>
      <c r="AB52">
        <f>HYPERLINK("https://klasma.github.io/Logging_1435/tillsynsmail/A 14821-2026 tillsynsbegäran mail.docx", "A 14821-2026")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46219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HYPERLINK("https://klasma.github.io/Logging_1435/artfynd/A 36121-2025 artfynd.xlsx", "A 36121-2025")</f>
        <v/>
      </c>
      <c r="W53">
        <f>HYPERLINK("https://klasma.github.io/Logging_1435/kartor/A 36121-2025 karta.png", "A 36121-2025")</f>
        <v/>
      </c>
      <c r="Y53">
        <f>HYPERLINK("https://klasma.github.io/Logging_1435/klagomål/A 36121-2025 FSC-klagomål.docx", "A 36121-2025")</f>
        <v/>
      </c>
      <c r="Z53">
        <f>HYPERLINK("https://klasma.github.io/Logging_1435/klagomålsmail/A 36121-2025 FSC-klagomål mail.docx", "A 36121-2025")</f>
        <v/>
      </c>
      <c r="AA53">
        <f>HYPERLINK("https://klasma.github.io/Logging_1435/tillsyn/A 36121-2025 tillsynsbegäran.docx", "A 36121-2025")</f>
        <v/>
      </c>
      <c r="AB53">
        <f>HYPERLINK("https://klasma.github.io/Logging_1435/tillsynsmail/A 36121-2025 tillsynsbegäran mail.docx", "A 36121-2025")</f>
        <v/>
      </c>
    </row>
    <row r="54" ht="15" customHeight="1">
      <c r="A54" t="inlineStr">
        <is>
          <t>A 23197-2026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46219</v>
      </c>
      <c r="F54" t="inlineStr">
        <is>
          <t>VÄSTRA GÖTALANDS LÄN</t>
        </is>
      </c>
      <c r="G54" t="inlineStr">
        <is>
          <t>TANUM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Mattlummer</t>
        </is>
      </c>
      <c r="V54">
        <f>HYPERLINK("https://klasma.github.io/Logging_1435/artfynd/A 23197-2026 artfynd.xlsx", "A 23197-2026")</f>
        <v/>
      </c>
      <c r="W54">
        <f>HYPERLINK("https://klasma.github.io/Logging_1435/kartor/A 23197-2026 karta.png", "A 23197-2026")</f>
        <v/>
      </c>
      <c r="Y54">
        <f>HYPERLINK("https://klasma.github.io/Logging_1435/klagomål/A 23197-2026 FSC-klagomål.docx", "A 23197-2026")</f>
        <v/>
      </c>
      <c r="Z54">
        <f>HYPERLINK("https://klasma.github.io/Logging_1435/klagomålsmail/A 23197-2026 FSC-klagomål mail.docx", "A 23197-2026")</f>
        <v/>
      </c>
      <c r="AA54">
        <f>HYPERLINK("https://klasma.github.io/Logging_1435/tillsyn/A 23197-2026 tillsynsbegäran.docx", "A 23197-2026")</f>
        <v/>
      </c>
      <c r="AB54">
        <f>HYPERLINK("https://klasma.github.io/Logging_1435/tillsynsmail/A 23197-2026 tillsynsbegäran mail.docx", "A 23197-2026")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46219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46219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46219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46219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46219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46219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46219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46219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46219</v>
      </c>
      <c r="F63" t="inlineStr">
        <is>
          <t>VÄSTRA GÖTALANDS LÄN</t>
        </is>
      </c>
      <c r="G63" t="inlineStr">
        <is>
          <t>TANUM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46219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46219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46219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46219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46219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46219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23800-2022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44722</v>
      </c>
      <c r="E70" s="1" t="n">
        <v>46219</v>
      </c>
      <c r="F70" t="inlineStr">
        <is>
          <t>VÄSTRA GÖTALANDS LÄN</t>
        </is>
      </c>
      <c r="G70" t="inlineStr">
        <is>
          <t>TANUM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54197-2021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46219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46219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46219</v>
      </c>
      <c r="F73" t="inlineStr">
        <is>
          <t>VÄSTRA GÖTALANDS LÄN</t>
        </is>
      </c>
      <c r="G73" t="inlineStr">
        <is>
          <t>TANUM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46219</v>
      </c>
      <c r="F74" t="inlineStr">
        <is>
          <t>VÄSTRA GÖTALANDS LÄN</t>
        </is>
      </c>
      <c r="G74" t="inlineStr">
        <is>
          <t>TANUM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44735</v>
      </c>
      <c r="E75" s="1" t="n">
        <v>46219</v>
      </c>
      <c r="F75" t="inlineStr">
        <is>
          <t>VÄSTRA GÖTALANDS LÄN</t>
        </is>
      </c>
      <c r="G75" t="inlineStr">
        <is>
          <t>TANUM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46219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46219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46219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46219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46219</v>
      </c>
      <c r="F80" t="inlineStr">
        <is>
          <t>VÄSTRA GÖTALANDS LÄN</t>
        </is>
      </c>
      <c r="G80" t="inlineStr">
        <is>
          <t>TANUM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46219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46219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35841-2022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46219</v>
      </c>
      <c r="F83" t="inlineStr">
        <is>
          <t>VÄSTRA GÖTALANDS LÄN</t>
        </is>
      </c>
      <c r="G83" t="inlineStr">
        <is>
          <t>TANUM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46219</v>
      </c>
      <c r="F84" t="inlineStr">
        <is>
          <t>VÄSTRA GÖTALANDS LÄN</t>
        </is>
      </c>
      <c r="G84" t="inlineStr">
        <is>
          <t>TANUM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46219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44687-2021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44438</v>
      </c>
      <c r="E86" s="1" t="n">
        <v>46219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44445</v>
      </c>
      <c r="E87" s="1" t="n">
        <v>46219</v>
      </c>
      <c r="F87" t="inlineStr">
        <is>
          <t>VÄSTRA GÖTALANDS LÄN</t>
        </is>
      </c>
      <c r="G87" t="inlineStr">
        <is>
          <t>TANUM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54055-2021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46219</v>
      </c>
      <c r="F88" t="inlineStr">
        <is>
          <t>VÄSTRA GÖTALANDS LÄN</t>
        </is>
      </c>
      <c r="G88" t="inlineStr">
        <is>
          <t>TANUM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52403-2021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44463</v>
      </c>
      <c r="E89" s="1" t="n">
        <v>46219</v>
      </c>
      <c r="F89" t="inlineStr">
        <is>
          <t>VÄSTRA GÖTALANDS LÄN</t>
        </is>
      </c>
      <c r="G89" t="inlineStr">
        <is>
          <t>TANUM</t>
        </is>
      </c>
      <c r="H89" t="inlineStr">
        <is>
          <t>Kyrkan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46219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46219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46219</v>
      </c>
      <c r="F92" t="inlineStr">
        <is>
          <t>VÄSTRA GÖTALANDS LÄN</t>
        </is>
      </c>
      <c r="G92" t="inlineStr">
        <is>
          <t>TANUM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44484</v>
      </c>
      <c r="E93" s="1" t="n">
        <v>46219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46219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57999-2021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46219</v>
      </c>
      <c r="F95" t="inlineStr">
        <is>
          <t>VÄSTRA GÖTALANDS LÄN</t>
        </is>
      </c>
      <c r="G95" t="inlineStr">
        <is>
          <t>TANUM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44966-2024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46219</v>
      </c>
      <c r="F96" t="inlineStr">
        <is>
          <t>VÄSTRA GÖTALANDS LÄN</t>
        </is>
      </c>
      <c r="G96" t="inlineStr">
        <is>
          <t>TANUM</t>
        </is>
      </c>
      <c r="H96" t="inlineStr">
        <is>
          <t>Naturvårdsverket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45744-2024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45579</v>
      </c>
      <c r="E97" s="1" t="n">
        <v>46219</v>
      </c>
      <c r="F97" t="inlineStr">
        <is>
          <t>VÄSTRA GÖTALANDS LÄN</t>
        </is>
      </c>
      <c r="G97" t="inlineStr">
        <is>
          <t>TANUM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57358-2024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46219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44395</v>
      </c>
      <c r="E99" s="1" t="n">
        <v>46219</v>
      </c>
      <c r="F99" t="inlineStr">
        <is>
          <t>VÄSTRA GÖTALANDS LÄN</t>
        </is>
      </c>
      <c r="G99" t="inlineStr">
        <is>
          <t>TANUM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23228-2022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44719</v>
      </c>
      <c r="E100" s="1" t="n">
        <v>46219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46219</v>
      </c>
      <c r="F101" t="inlineStr">
        <is>
          <t>VÄSTRA GÖTALANDS LÄN</t>
        </is>
      </c>
      <c r="G101" t="inlineStr">
        <is>
          <t>TANUM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50935-2022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46219</v>
      </c>
      <c r="F102" t="inlineStr">
        <is>
          <t>VÄSTRA GÖTALANDS LÄN</t>
        </is>
      </c>
      <c r="G102" t="inlineStr">
        <is>
          <t>TANUM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38500-2023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46219</v>
      </c>
      <c r="F103" t="inlineStr">
        <is>
          <t>VÄSTRA GÖTALANDS LÄN</t>
        </is>
      </c>
      <c r="G103" t="inlineStr">
        <is>
          <t>TANUM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63333-2021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44506</v>
      </c>
      <c r="E104" s="1" t="n">
        <v>46219</v>
      </c>
      <c r="F104" t="inlineStr">
        <is>
          <t>VÄSTRA GÖTALANDS LÄN</t>
        </is>
      </c>
      <c r="G104" t="inlineStr">
        <is>
          <t>TANUM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39959-2021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46219</v>
      </c>
      <c r="F105" t="inlineStr">
        <is>
          <t>VÄSTRA GÖTALANDS LÄN</t>
        </is>
      </c>
      <c r="G105" t="inlineStr">
        <is>
          <t>TANUM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46219</v>
      </c>
      <c r="F106" t="inlineStr">
        <is>
          <t>VÄSTRA GÖTALANDS LÄN</t>
        </is>
      </c>
      <c r="G106" t="inlineStr">
        <is>
          <t>TANUM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49691-2024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46219</v>
      </c>
      <c r="F107" t="inlineStr">
        <is>
          <t>VÄSTRA GÖTALANDS LÄN</t>
        </is>
      </c>
      <c r="G107" t="inlineStr">
        <is>
          <t>TANUM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54054-2021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46219</v>
      </c>
      <c r="F108" t="inlineStr">
        <is>
          <t>VÄSTRA GÖTALANDS LÄN</t>
        </is>
      </c>
      <c r="G108" t="inlineStr">
        <is>
          <t>TANUM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64529-2023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46219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11142-2024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46219</v>
      </c>
      <c r="F110" t="inlineStr">
        <is>
          <t>VÄSTRA GÖTALANDS LÄN</t>
        </is>
      </c>
      <c r="G110" t="inlineStr">
        <is>
          <t>TANUM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40043-2023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46219</v>
      </c>
      <c r="F111" t="inlineStr">
        <is>
          <t>VÄSTRA GÖTALANDS LÄN</t>
        </is>
      </c>
      <c r="G111" t="inlineStr">
        <is>
          <t>TANUM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46219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43864-2023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46219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62931-2023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46219</v>
      </c>
      <c r="F114" t="inlineStr">
        <is>
          <t>VÄSTRA GÖTALANDS LÄN</t>
        </is>
      </c>
      <c r="G114" t="inlineStr">
        <is>
          <t>TANUM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24100-2022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44725</v>
      </c>
      <c r="E115" s="1" t="n">
        <v>46219</v>
      </c>
      <c r="F115" t="inlineStr">
        <is>
          <t>VÄSTRA GÖTALANDS LÄN</t>
        </is>
      </c>
      <c r="G115" t="inlineStr">
        <is>
          <t>TANUM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64066-2023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46219</v>
      </c>
      <c r="F116" t="inlineStr">
        <is>
          <t>VÄSTRA GÖTALANDS LÄN</t>
        </is>
      </c>
      <c r="G116" t="inlineStr">
        <is>
          <t>TANUM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62697-2023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46219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59166-2021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46219</v>
      </c>
      <c r="F118" t="inlineStr">
        <is>
          <t>VÄSTRA GÖTALANDS LÄN</t>
        </is>
      </c>
      <c r="G118" t="inlineStr">
        <is>
          <t>TANUM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15353-2024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46219</v>
      </c>
      <c r="F119" t="inlineStr">
        <is>
          <t>VÄSTRA GÖTALANDS LÄN</t>
        </is>
      </c>
      <c r="G119" t="inlineStr">
        <is>
          <t>TANUM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18327-2023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46219</v>
      </c>
      <c r="F120" t="inlineStr">
        <is>
          <t>VÄSTRA GÖTALANDS LÄN</t>
        </is>
      </c>
      <c r="G120" t="inlineStr">
        <is>
          <t>TANUM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49751-2022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46219</v>
      </c>
      <c r="F121" t="inlineStr">
        <is>
          <t>VÄSTRA GÖTALANDS LÄN</t>
        </is>
      </c>
      <c r="G121" t="inlineStr">
        <is>
          <t>TANUM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46219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46219</v>
      </c>
      <c r="F123" t="inlineStr">
        <is>
          <t>VÄSTRA GÖTALANDS LÄN</t>
        </is>
      </c>
      <c r="G123" t="inlineStr">
        <is>
          <t>TANUM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11786-2024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45374</v>
      </c>
      <c r="E124" s="1" t="n">
        <v>46219</v>
      </c>
      <c r="F124" t="inlineStr">
        <is>
          <t>VÄSTRA GÖTALANDS LÄN</t>
        </is>
      </c>
      <c r="G124" t="inlineStr">
        <is>
          <t>TANUM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13645-2024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46219</v>
      </c>
      <c r="F125" t="inlineStr">
        <is>
          <t>VÄSTRA GÖTALANDS LÄN</t>
        </is>
      </c>
      <c r="G125" t="inlineStr">
        <is>
          <t>TANUM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46219</v>
      </c>
      <c r="F126" t="inlineStr">
        <is>
          <t>VÄSTRA GÖTALANDS LÄN</t>
        </is>
      </c>
      <c r="G126" t="inlineStr">
        <is>
          <t>TANUM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48640-2023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46219</v>
      </c>
      <c r="F127" t="inlineStr">
        <is>
          <t>VÄSTRA GÖTALANDS LÄN</t>
        </is>
      </c>
      <c r="G127" t="inlineStr">
        <is>
          <t>TANUM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46219</v>
      </c>
      <c r="F128" t="inlineStr">
        <is>
          <t>VÄSTRA GÖTALANDS LÄN</t>
        </is>
      </c>
      <c r="G128" t="inlineStr">
        <is>
          <t>TANUM</t>
        </is>
      </c>
      <c r="I128" t="n">
        <v>11.4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55831-2023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45239</v>
      </c>
      <c r="E129" s="1" t="n">
        <v>46219</v>
      </c>
      <c r="F129" t="inlineStr">
        <is>
          <t>VÄSTRA GÖTALANDS LÄN</t>
        </is>
      </c>
      <c r="G129" t="inlineStr">
        <is>
          <t>TANUM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46219</v>
      </c>
      <c r="F130" t="inlineStr">
        <is>
          <t>VÄSTRA GÖTALANDS LÄN</t>
        </is>
      </c>
      <c r="G130" t="inlineStr">
        <is>
          <t>TANUM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44301-2022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44839</v>
      </c>
      <c r="E131" s="1" t="n">
        <v>46219</v>
      </c>
      <c r="F131" t="inlineStr">
        <is>
          <t>VÄSTRA GÖTALANDS LÄN</t>
        </is>
      </c>
      <c r="G131" t="inlineStr">
        <is>
          <t>TANUM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56379-2022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44890</v>
      </c>
      <c r="E132" s="1" t="n">
        <v>46219</v>
      </c>
      <c r="F132" t="inlineStr">
        <is>
          <t>VÄSTRA GÖTALANDS LÄN</t>
        </is>
      </c>
      <c r="G132" t="inlineStr">
        <is>
          <t>TANUM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57889-2022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46219</v>
      </c>
      <c r="F133" t="inlineStr">
        <is>
          <t>VÄSTRA GÖTALANDS LÄN</t>
        </is>
      </c>
      <c r="G133" t="inlineStr">
        <is>
          <t>TANUM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51812-2022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46219</v>
      </c>
      <c r="F134" t="inlineStr">
        <is>
          <t>VÄSTRA GÖTALANDS LÄN</t>
        </is>
      </c>
      <c r="G134" t="inlineStr">
        <is>
          <t>TANUM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46219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50372-2023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46219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50383-2023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46219</v>
      </c>
      <c r="F137" t="inlineStr">
        <is>
          <t>VÄSTRA GÖTALANDS LÄN</t>
        </is>
      </c>
      <c r="G137" t="inlineStr">
        <is>
          <t>TANUM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46219</v>
      </c>
      <c r="F138" t="inlineStr">
        <is>
          <t>VÄSTRA GÖTALANDS LÄN</t>
        </is>
      </c>
      <c r="G138" t="inlineStr">
        <is>
          <t>TANUM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7705-2023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44969</v>
      </c>
      <c r="E139" s="1" t="n">
        <v>46219</v>
      </c>
      <c r="F139" t="inlineStr">
        <is>
          <t>VÄSTRA GÖTALANDS LÄN</t>
        </is>
      </c>
      <c r="G139" t="inlineStr">
        <is>
          <t>TANUM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23122-2024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45450</v>
      </c>
      <c r="E140" s="1" t="n">
        <v>46219</v>
      </c>
      <c r="F140" t="inlineStr">
        <is>
          <t>VÄSTRA GÖTALANDS LÄN</t>
        </is>
      </c>
      <c r="G140" t="inlineStr">
        <is>
          <t>TANUM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49309-2024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45595</v>
      </c>
      <c r="E141" s="1" t="n">
        <v>46219</v>
      </c>
      <c r="F141" t="inlineStr">
        <is>
          <t>VÄSTRA GÖTALANDS LÄN</t>
        </is>
      </c>
      <c r="G141" t="inlineStr">
        <is>
          <t>TANUM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4362-2023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44954</v>
      </c>
      <c r="E142" s="1" t="n">
        <v>46219</v>
      </c>
      <c r="F142" t="inlineStr">
        <is>
          <t>VÄSTRA GÖTALANDS LÄN</t>
        </is>
      </c>
      <c r="G142" t="inlineStr">
        <is>
          <t>TANUM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16644-2025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46219</v>
      </c>
      <c r="F143" t="inlineStr">
        <is>
          <t>VÄSTRA GÖTALANDS LÄN</t>
        </is>
      </c>
      <c r="G143" t="inlineStr">
        <is>
          <t>TANUM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59506-2024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46219</v>
      </c>
      <c r="F144" t="inlineStr">
        <is>
          <t>VÄSTRA GÖTALANDS LÄN</t>
        </is>
      </c>
      <c r="G144" t="inlineStr">
        <is>
          <t>TANUM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30632-2023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45102</v>
      </c>
      <c r="E145" s="1" t="n">
        <v>46219</v>
      </c>
      <c r="F145" t="inlineStr">
        <is>
          <t>VÄSTRA GÖTALANDS LÄN</t>
        </is>
      </c>
      <c r="G145" t="inlineStr">
        <is>
          <t>TANUM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42079-2022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46219</v>
      </c>
      <c r="F146" t="inlineStr">
        <is>
          <t>VÄSTRA GÖTALANDS LÄN</t>
        </is>
      </c>
      <c r="G146" t="inlineStr">
        <is>
          <t>TANUM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44929</v>
      </c>
      <c r="E147" s="1" t="n">
        <v>46219</v>
      </c>
      <c r="F147" t="inlineStr">
        <is>
          <t>VÄSTRA GÖTALANDS LÄN</t>
        </is>
      </c>
      <c r="G147" t="inlineStr">
        <is>
          <t>TANUM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12077-2023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44997</v>
      </c>
      <c r="E148" s="1" t="n">
        <v>46219</v>
      </c>
      <c r="F148" t="inlineStr">
        <is>
          <t>VÄSTRA GÖTALANDS LÄN</t>
        </is>
      </c>
      <c r="G148" t="inlineStr">
        <is>
          <t>TANUM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46219</v>
      </c>
      <c r="F149" t="inlineStr">
        <is>
          <t>VÄSTRA GÖTALANDS LÄN</t>
        </is>
      </c>
      <c r="G149" t="inlineStr">
        <is>
          <t>TANUM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10889-2025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46219</v>
      </c>
      <c r="F150" t="inlineStr">
        <is>
          <t>VÄSTRA GÖTALANDS LÄN</t>
        </is>
      </c>
      <c r="G150" t="inlineStr">
        <is>
          <t>TANUM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62489-2023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46219</v>
      </c>
      <c r="F151" t="inlineStr">
        <is>
          <t>VÄSTRA GÖTALANDS LÄN</t>
        </is>
      </c>
      <c r="G151" t="inlineStr">
        <is>
          <t>TANUM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13423-2024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46219</v>
      </c>
      <c r="F152" t="inlineStr">
        <is>
          <t>VÄSTRA GÖTALANDS LÄN</t>
        </is>
      </c>
      <c r="G152" t="inlineStr">
        <is>
          <t>TANUM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45673</v>
      </c>
      <c r="E153" s="1" t="n">
        <v>46219</v>
      </c>
      <c r="F153" t="inlineStr">
        <is>
          <t>VÄSTRA GÖTALANDS LÄN</t>
        </is>
      </c>
      <c r="G153" t="inlineStr">
        <is>
          <t>TANUM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46219</v>
      </c>
      <c r="F154" t="inlineStr">
        <is>
          <t>VÄSTRA GÖTALANDS LÄN</t>
        </is>
      </c>
      <c r="G154" t="inlineStr">
        <is>
          <t>TANUM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53838-2023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46219</v>
      </c>
      <c r="F155" t="inlineStr">
        <is>
          <t>VÄSTRA GÖTALANDS LÄN</t>
        </is>
      </c>
      <c r="G155" t="inlineStr">
        <is>
          <t>TANUM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30495-2023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45102</v>
      </c>
      <c r="E156" s="1" t="n">
        <v>46219</v>
      </c>
      <c r="F156" t="inlineStr">
        <is>
          <t>VÄSTRA GÖTALANDS LÄN</t>
        </is>
      </c>
      <c r="G156" t="inlineStr">
        <is>
          <t>TANUM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30228-2024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45490</v>
      </c>
      <c r="E157" s="1" t="n">
        <v>46219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38804-2025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46219</v>
      </c>
      <c r="F158" t="inlineStr">
        <is>
          <t>VÄSTRA GÖTALANDS LÄN</t>
        </is>
      </c>
      <c r="G158" t="inlineStr">
        <is>
          <t>TANUM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46219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56378-2022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46219</v>
      </c>
      <c r="F160" t="inlineStr">
        <is>
          <t>VÄSTRA GÖTALANDS LÄN</t>
        </is>
      </c>
      <c r="G160" t="inlineStr">
        <is>
          <t>TANUM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39309-2025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46219</v>
      </c>
      <c r="F161" t="inlineStr">
        <is>
          <t>VÄSTRA GÖTALANDS LÄN</t>
        </is>
      </c>
      <c r="G161" t="inlineStr">
        <is>
          <t>TANUM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46219</v>
      </c>
      <c r="F162" t="inlineStr">
        <is>
          <t>VÄSTRA GÖTALANDS LÄN</t>
        </is>
      </c>
      <c r="G162" t="inlineStr">
        <is>
          <t>TANUM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13386-2023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46219</v>
      </c>
      <c r="F163" t="inlineStr">
        <is>
          <t>VÄSTRA GÖTALANDS LÄN</t>
        </is>
      </c>
      <c r="G163" t="inlineStr">
        <is>
          <t>TANUM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37790-2023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46219</v>
      </c>
      <c r="F164" t="inlineStr">
        <is>
          <t>VÄSTRA GÖTALANDS LÄN</t>
        </is>
      </c>
      <c r="G164" t="inlineStr">
        <is>
          <t>TANUM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44573</v>
      </c>
      <c r="E165" s="1" t="n">
        <v>46219</v>
      </c>
      <c r="F165" t="inlineStr">
        <is>
          <t>VÄSTRA GÖTALANDS LÄN</t>
        </is>
      </c>
      <c r="G165" t="inlineStr">
        <is>
          <t>TANUM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53759-2021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46219</v>
      </c>
      <c r="F166" t="inlineStr">
        <is>
          <t>VÄSTRA GÖTALANDS LÄN</t>
        </is>
      </c>
      <c r="G166" t="inlineStr">
        <is>
          <t>TANUM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46219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46219</v>
      </c>
      <c r="F168" t="inlineStr">
        <is>
          <t>VÄSTRA GÖTALANDS LÄN</t>
        </is>
      </c>
      <c r="G168" t="inlineStr">
        <is>
          <t>TANUM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46219</v>
      </c>
      <c r="F169" t="inlineStr">
        <is>
          <t>VÄSTRA GÖTALANDS LÄN</t>
        </is>
      </c>
      <c r="G169" t="inlineStr">
        <is>
          <t>TANUM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46219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61709-2023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46219</v>
      </c>
      <c r="F171" t="inlineStr">
        <is>
          <t>VÄSTRA GÖTALANDS LÄN</t>
        </is>
      </c>
      <c r="G171" t="inlineStr">
        <is>
          <t>TANUM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41777-2025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46219</v>
      </c>
      <c r="F172" t="inlineStr">
        <is>
          <t>VÄSTRA GÖTALANDS LÄN</t>
        </is>
      </c>
      <c r="G172" t="inlineStr">
        <is>
          <t>TANUM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45068-2021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46219</v>
      </c>
      <c r="F173" t="inlineStr">
        <is>
          <t>VÄSTRA GÖTALANDS LÄN</t>
        </is>
      </c>
      <c r="G173" t="inlineStr">
        <is>
          <t>TANUM</t>
        </is>
      </c>
      <c r="I173" t="n">
        <v>15.2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16480-2023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45026</v>
      </c>
      <c r="E174" s="1" t="n">
        <v>46219</v>
      </c>
      <c r="F174" t="inlineStr">
        <is>
          <t>VÄSTRA GÖTALANDS LÄN</t>
        </is>
      </c>
      <c r="G174" t="inlineStr">
        <is>
          <t>TANUM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36949-2024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46219</v>
      </c>
      <c r="F175" t="inlineStr">
        <is>
          <t>VÄSTRA GÖTALANDS LÄN</t>
        </is>
      </c>
      <c r="G175" t="inlineStr">
        <is>
          <t>TANUM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41987-2025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46219</v>
      </c>
      <c r="F176" t="inlineStr">
        <is>
          <t>VÄSTRA GÖTALANDS LÄN</t>
        </is>
      </c>
      <c r="G176" t="inlineStr">
        <is>
          <t>TANUM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41988-2025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46219</v>
      </c>
      <c r="F177" t="inlineStr">
        <is>
          <t>VÄSTRA GÖTALANDS LÄN</t>
        </is>
      </c>
      <c r="G177" t="inlineStr">
        <is>
          <t>TANUM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39901-2023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46219</v>
      </c>
      <c r="F178" t="inlineStr">
        <is>
          <t>VÄSTRA GÖTALANDS LÄN</t>
        </is>
      </c>
      <c r="G178" t="inlineStr">
        <is>
          <t>TANUM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43884-2021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44434</v>
      </c>
      <c r="E179" s="1" t="n">
        <v>46219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43889-2021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44434</v>
      </c>
      <c r="E180" s="1" t="n">
        <v>46219</v>
      </c>
      <c r="F180" t="inlineStr">
        <is>
          <t>VÄSTRA GÖTALANDS LÄN</t>
        </is>
      </c>
      <c r="G180" t="inlineStr">
        <is>
          <t>TANUM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18398-2024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46219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Kommuner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18400-2024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46219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48302-2022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46219</v>
      </c>
      <c r="F183" t="inlineStr">
        <is>
          <t>VÄSTRA GÖTALANDS LÄN</t>
        </is>
      </c>
      <c r="G183" t="inlineStr">
        <is>
          <t>TANUM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37106-2023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46219</v>
      </c>
      <c r="F184" t="inlineStr">
        <is>
          <t>VÄSTRA GÖTALANDS LÄN</t>
        </is>
      </c>
      <c r="G184" t="inlineStr">
        <is>
          <t>TANUM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42756-2022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44832</v>
      </c>
      <c r="E185" s="1" t="n">
        <v>46219</v>
      </c>
      <c r="F185" t="inlineStr">
        <is>
          <t>VÄSTRA GÖTALANDS LÄN</t>
        </is>
      </c>
      <c r="G185" t="inlineStr">
        <is>
          <t>TANUM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45686</v>
      </c>
      <c r="E186" s="1" t="n">
        <v>46219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37283-2022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44807</v>
      </c>
      <c r="E187" s="1" t="n">
        <v>46219</v>
      </c>
      <c r="F187" t="inlineStr">
        <is>
          <t>VÄSTRA GÖTALANDS LÄN</t>
        </is>
      </c>
      <c r="G187" t="inlineStr">
        <is>
          <t>TANUM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45374-2025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46219</v>
      </c>
      <c r="F188" t="inlineStr">
        <is>
          <t>VÄSTRA GÖTALANDS LÄN</t>
        </is>
      </c>
      <c r="G188" t="inlineStr">
        <is>
          <t>TANUM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45677</v>
      </c>
      <c r="E189" s="1" t="n">
        <v>46219</v>
      </c>
      <c r="F189" t="inlineStr">
        <is>
          <t>VÄSTRA GÖTALANDS LÄN</t>
        </is>
      </c>
      <c r="G189" t="inlineStr">
        <is>
          <t>TANUM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6630-2022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46219</v>
      </c>
      <c r="F190" t="inlineStr">
        <is>
          <t>VÄSTRA GÖTALANDS LÄN</t>
        </is>
      </c>
      <c r="G190" t="inlineStr">
        <is>
          <t>TANUM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45336-2025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46219</v>
      </c>
      <c r="F191" t="inlineStr">
        <is>
          <t>VÄSTRA GÖTALANDS LÄN</t>
        </is>
      </c>
      <c r="G191" t="inlineStr">
        <is>
          <t>TANUM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45303</v>
      </c>
      <c r="E192" s="1" t="n">
        <v>46219</v>
      </c>
      <c r="F192" t="inlineStr">
        <is>
          <t>VÄSTRA GÖTALANDS LÄN</t>
        </is>
      </c>
      <c r="G192" t="inlineStr">
        <is>
          <t>TANUM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45345-2025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46219</v>
      </c>
      <c r="F193" t="inlineStr">
        <is>
          <t>VÄSTRA GÖTALANDS LÄN</t>
        </is>
      </c>
      <c r="G193" t="inlineStr">
        <is>
          <t>TANUM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46219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48987-2023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46219</v>
      </c>
      <c r="F195" t="inlineStr">
        <is>
          <t>VÄSTRA GÖTALANDS LÄN</t>
        </is>
      </c>
      <c r="G195" t="inlineStr">
        <is>
          <t>TANUM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13997-2025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46219</v>
      </c>
      <c r="F196" t="inlineStr">
        <is>
          <t>VÄSTRA GÖTALANDS LÄN</t>
        </is>
      </c>
      <c r="G196" t="inlineStr">
        <is>
          <t>TANUM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8600-2024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45355</v>
      </c>
      <c r="E197" s="1" t="n">
        <v>46219</v>
      </c>
      <c r="F197" t="inlineStr">
        <is>
          <t>VÄSTRA GÖTALANDS LÄN</t>
        </is>
      </c>
      <c r="G197" t="inlineStr">
        <is>
          <t>TANUM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45656-2025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46219</v>
      </c>
      <c r="F198" t="inlineStr">
        <is>
          <t>VÄSTRA GÖTALANDS LÄN</t>
        </is>
      </c>
      <c r="G198" t="inlineStr">
        <is>
          <t>TANUM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46420-2025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46219</v>
      </c>
      <c r="F199" t="inlineStr">
        <is>
          <t>VÄSTRA GÖTALANDS LÄN</t>
        </is>
      </c>
      <c r="G199" t="inlineStr">
        <is>
          <t>TANUM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46219</v>
      </c>
      <c r="F200" t="inlineStr">
        <is>
          <t>VÄSTRA GÖTALANDS LÄN</t>
        </is>
      </c>
      <c r="G200" t="inlineStr">
        <is>
          <t>TANUM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58335-2021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44488</v>
      </c>
      <c r="E201" s="1" t="n">
        <v>46219</v>
      </c>
      <c r="F201" t="inlineStr">
        <is>
          <t>VÄSTRA GÖTALANDS LÄN</t>
        </is>
      </c>
      <c r="G201" t="inlineStr">
        <is>
          <t>TANUM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46528-2025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46219</v>
      </c>
      <c r="F202" t="inlineStr">
        <is>
          <t>VÄSTRA GÖTALANDS LÄN</t>
        </is>
      </c>
      <c r="G202" t="inlineStr">
        <is>
          <t>TANUM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46219</v>
      </c>
      <c r="F203" t="inlineStr">
        <is>
          <t>VÄSTRA GÖTALANDS LÄN</t>
        </is>
      </c>
      <c r="G203" t="inlineStr">
        <is>
          <t>TANUM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47056-2025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46219</v>
      </c>
      <c r="F204" t="inlineStr">
        <is>
          <t>VÄSTRA GÖTALANDS LÄN</t>
        </is>
      </c>
      <c r="G204" t="inlineStr">
        <is>
          <t>TANUM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45927</v>
      </c>
      <c r="E205" s="1" t="n">
        <v>46219</v>
      </c>
      <c r="F205" t="inlineStr">
        <is>
          <t>VÄSTRA GÖTALANDS LÄN</t>
        </is>
      </c>
      <c r="G205" t="inlineStr">
        <is>
          <t>TANUM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36844-2024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46219</v>
      </c>
      <c r="F206" t="inlineStr">
        <is>
          <t>VÄSTRA GÖTALANDS LÄN</t>
        </is>
      </c>
      <c r="G206" t="inlineStr">
        <is>
          <t>TANUM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46219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47984-2025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46219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46219</v>
      </c>
      <c r="F209" t="inlineStr">
        <is>
          <t>VÄSTRA GÖTALANDS LÄN</t>
        </is>
      </c>
      <c r="G209" t="inlineStr">
        <is>
          <t>TANUM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48683-2025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45935</v>
      </c>
      <c r="E210" s="1" t="n">
        <v>46219</v>
      </c>
      <c r="F210" t="inlineStr">
        <is>
          <t>VÄSTRA GÖTALANDS LÄN</t>
        </is>
      </c>
      <c r="G210" t="inlineStr">
        <is>
          <t>TANUM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48671-2025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45935</v>
      </c>
      <c r="E211" s="1" t="n">
        <v>46219</v>
      </c>
      <c r="F211" t="inlineStr">
        <is>
          <t>VÄSTRA GÖTALANDS LÄN</t>
        </is>
      </c>
      <c r="G211" t="inlineStr">
        <is>
          <t>TANUM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15217-2025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46219</v>
      </c>
      <c r="F212" t="inlineStr">
        <is>
          <t>VÄSTRA GÖTALANDS LÄN</t>
        </is>
      </c>
      <c r="G212" t="inlineStr">
        <is>
          <t>TANUM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48572-2025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46219</v>
      </c>
      <c r="F213" t="inlineStr">
        <is>
          <t>VÄSTRA GÖTALANDS LÄN</t>
        </is>
      </c>
      <c r="G213" t="inlineStr">
        <is>
          <t>TANUM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31604-2024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45506</v>
      </c>
      <c r="E214" s="1" t="n">
        <v>46219</v>
      </c>
      <c r="F214" t="inlineStr">
        <is>
          <t>VÄSTRA GÖTALANDS LÄN</t>
        </is>
      </c>
      <c r="G214" t="inlineStr">
        <is>
          <t>TANUM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31613-2024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46219</v>
      </c>
      <c r="F215" t="inlineStr">
        <is>
          <t>VÄSTRA GÖTALANDS LÄN</t>
        </is>
      </c>
      <c r="G215" t="inlineStr">
        <is>
          <t>TANUM</t>
        </is>
      </c>
      <c r="I215" t="n">
        <v>11.9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2004-2023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44939</v>
      </c>
      <c r="E216" s="1" t="n">
        <v>46219</v>
      </c>
      <c r="F216" t="inlineStr">
        <is>
          <t>VÄSTRA GÖTALANDS LÄN</t>
        </is>
      </c>
      <c r="G216" t="inlineStr">
        <is>
          <t>TANUM</t>
        </is>
      </c>
      <c r="I216" t="n">
        <v>9.9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3493-2022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46219</v>
      </c>
      <c r="F217" t="inlineStr">
        <is>
          <t>VÄSTRA GÖTALANDS LÄN</t>
        </is>
      </c>
      <c r="G217" t="inlineStr">
        <is>
          <t>TANUM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48799-2025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46219</v>
      </c>
      <c r="F218" t="inlineStr">
        <is>
          <t>VÄSTRA GÖTALANDS LÄN</t>
        </is>
      </c>
      <c r="G218" t="inlineStr">
        <is>
          <t>TANUM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50048-2024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45597</v>
      </c>
      <c r="E219" s="1" t="n">
        <v>46219</v>
      </c>
      <c r="F219" t="inlineStr">
        <is>
          <t>VÄSTRA GÖTALANDS LÄN</t>
        </is>
      </c>
      <c r="G219" t="inlineStr">
        <is>
          <t>TANUM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53033-2021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46219</v>
      </c>
      <c r="F220" t="inlineStr">
        <is>
          <t>VÄSTRA GÖTALANDS LÄN</t>
        </is>
      </c>
      <c r="G220" t="inlineStr">
        <is>
          <t>TANUM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21751-2023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46219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58661-2024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46219</v>
      </c>
      <c r="F222" t="inlineStr">
        <is>
          <t>VÄSTRA GÖTALANDS LÄN</t>
        </is>
      </c>
      <c r="G222" t="inlineStr">
        <is>
          <t>TANUM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43364-2024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46219</v>
      </c>
      <c r="F223" t="inlineStr">
        <is>
          <t>VÄSTRA GÖTALANDS LÄN</t>
        </is>
      </c>
      <c r="G223" t="inlineStr">
        <is>
          <t>TANUM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50161-2025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46219</v>
      </c>
      <c r="F224" t="inlineStr">
        <is>
          <t>VÄSTRA GÖTALANDS LÄN</t>
        </is>
      </c>
      <c r="G224" t="inlineStr">
        <is>
          <t>TANUM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46140-2022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44846</v>
      </c>
      <c r="E225" s="1" t="n">
        <v>46219</v>
      </c>
      <c r="F225" t="inlineStr">
        <is>
          <t>VÄSTRA GÖTALANDS LÄN</t>
        </is>
      </c>
      <c r="G225" t="inlineStr">
        <is>
          <t>TANUM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15991-2023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45023</v>
      </c>
      <c r="E226" s="1" t="n">
        <v>46219</v>
      </c>
      <c r="F226" t="inlineStr">
        <is>
          <t>VÄSTRA GÖTALANDS LÄN</t>
        </is>
      </c>
      <c r="G226" t="inlineStr">
        <is>
          <t>TANUM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46219</v>
      </c>
      <c r="F227" t="inlineStr">
        <is>
          <t>VÄSTRA GÖTALANDS LÄN</t>
        </is>
      </c>
      <c r="G227" t="inlineStr">
        <is>
          <t>TANUM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45942</v>
      </c>
      <c r="E228" s="1" t="n">
        <v>46219</v>
      </c>
      <c r="F228" t="inlineStr">
        <is>
          <t>VÄSTRA GÖTALANDS LÄN</t>
        </is>
      </c>
      <c r="G228" t="inlineStr">
        <is>
          <t>TANUM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45239</v>
      </c>
      <c r="E229" s="1" t="n">
        <v>46219</v>
      </c>
      <c r="F229" t="inlineStr">
        <is>
          <t>VÄSTRA GÖTALANDS LÄN</t>
        </is>
      </c>
      <c r="G229" t="inlineStr">
        <is>
          <t>TANUM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46219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Kyrkan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50556-2025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46219</v>
      </c>
      <c r="F231" t="inlineStr">
        <is>
          <t>VÄSTRA GÖTALANDS LÄN</t>
        </is>
      </c>
      <c r="G231" t="inlineStr">
        <is>
          <t>TANUM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51161-2025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45947</v>
      </c>
      <c r="E232" s="1" t="n">
        <v>46219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51411-2025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45949</v>
      </c>
      <c r="E233" s="1" t="n">
        <v>46219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46219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51688-2025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46219</v>
      </c>
      <c r="F235" t="inlineStr">
        <is>
          <t>VÄSTRA GÖTALANDS LÄN</t>
        </is>
      </c>
      <c r="G235" t="inlineStr">
        <is>
          <t>TANUM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51691-2025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46219</v>
      </c>
      <c r="F236" t="inlineStr">
        <is>
          <t>VÄSTRA GÖTALANDS LÄN</t>
        </is>
      </c>
      <c r="G236" t="inlineStr">
        <is>
          <t>TANUM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29694-2026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46204</v>
      </c>
      <c r="E237" s="1" t="n">
        <v>46219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51698-2025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46219</v>
      </c>
      <c r="F238" t="inlineStr">
        <is>
          <t>VÄSTRA GÖTALANDS LÄN</t>
        </is>
      </c>
      <c r="G238" t="inlineStr">
        <is>
          <t>TANUM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51966-2025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46219</v>
      </c>
      <c r="F239" t="inlineStr">
        <is>
          <t>VÄSTRA GÖTALANDS LÄN</t>
        </is>
      </c>
      <c r="G239" t="inlineStr">
        <is>
          <t>TANUM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51696-2025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46219</v>
      </c>
      <c r="F240" t="inlineStr">
        <is>
          <t>VÄSTRA GÖTALANDS LÄN</t>
        </is>
      </c>
      <c r="G240" t="inlineStr">
        <is>
          <t>TANUM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46219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46219</v>
      </c>
      <c r="F242" t="inlineStr">
        <is>
          <t>VÄSTRA GÖTALANDS LÄN</t>
        </is>
      </c>
      <c r="G242" t="inlineStr">
        <is>
          <t>TANUM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46219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23375-2026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46219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55995-2022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44887</v>
      </c>
      <c r="E245" s="1" t="n">
        <v>46219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52408-2025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46219</v>
      </c>
      <c r="F246" t="inlineStr">
        <is>
          <t>VÄSTRA GÖTALANDS LÄN</t>
        </is>
      </c>
      <c r="G246" t="inlineStr">
        <is>
          <t>TANUM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60351-2023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45259</v>
      </c>
      <c r="E247" s="1" t="n">
        <v>46219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46219</v>
      </c>
      <c r="F248" t="inlineStr">
        <is>
          <t>VÄSTRA GÖTALANDS LÄN</t>
        </is>
      </c>
      <c r="G248" t="inlineStr">
        <is>
          <t>TANUM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46219</v>
      </c>
      <c r="F249" t="inlineStr">
        <is>
          <t>VÄSTRA GÖTALANDS LÄN</t>
        </is>
      </c>
      <c r="G249" t="inlineStr">
        <is>
          <t>TANUM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30036-2026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46219</v>
      </c>
      <c r="F250" t="inlineStr">
        <is>
          <t>VÄSTRA GÖTALANDS LÄN</t>
        </is>
      </c>
      <c r="G250" t="inlineStr">
        <is>
          <t>TANUM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45174</v>
      </c>
      <c r="E251" s="1" t="n">
        <v>46219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45293</v>
      </c>
      <c r="E252" s="1" t="n">
        <v>46219</v>
      </c>
      <c r="F252" t="inlineStr">
        <is>
          <t>VÄSTRA GÖTALANDS LÄN</t>
        </is>
      </c>
      <c r="G252" t="inlineStr">
        <is>
          <t>TANUM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26624-2024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46219</v>
      </c>
      <c r="F253" t="inlineStr">
        <is>
          <t>VÄSTRA GÖTALANDS LÄN</t>
        </is>
      </c>
      <c r="G253" t="inlineStr">
        <is>
          <t>TANUM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61236-2024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46219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61241-2024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46219</v>
      </c>
      <c r="F255" t="inlineStr">
        <is>
          <t>VÄSTRA GÖTALANDS LÄN</t>
        </is>
      </c>
      <c r="G255" t="inlineStr">
        <is>
          <t>TANUM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30046-2026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46219</v>
      </c>
      <c r="F256" t="inlineStr">
        <is>
          <t>VÄSTRA GÖTALANDS LÄN</t>
        </is>
      </c>
      <c r="G256" t="inlineStr">
        <is>
          <t>TANUM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23173-2023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45075</v>
      </c>
      <c r="E257" s="1" t="n">
        <v>46219</v>
      </c>
      <c r="F257" t="inlineStr">
        <is>
          <t>VÄSTRA GÖTALANDS LÄN</t>
        </is>
      </c>
      <c r="G257" t="inlineStr">
        <is>
          <t>TANUM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46219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46219</v>
      </c>
      <c r="F259" t="inlineStr">
        <is>
          <t>VÄSTRA GÖTALANDS LÄN</t>
        </is>
      </c>
      <c r="G259" t="inlineStr">
        <is>
          <t>TANUM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55836-2025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46219</v>
      </c>
      <c r="F260" t="inlineStr">
        <is>
          <t>VÄSTRA GÖTALANDS LÄN</t>
        </is>
      </c>
      <c r="G260" t="inlineStr">
        <is>
          <t>TANUM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39184-2022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46219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26371-2024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46219</v>
      </c>
      <c r="F262" t="inlineStr">
        <is>
          <t>VÄSTRA GÖTALANDS LÄN</t>
        </is>
      </c>
      <c r="G262" t="inlineStr">
        <is>
          <t>TANUM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46219</v>
      </c>
      <c r="F263" t="inlineStr">
        <is>
          <t>VÄSTRA GÖTALANDS LÄN</t>
        </is>
      </c>
      <c r="G263" t="inlineStr">
        <is>
          <t>TANUM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46219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55837-2025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46219</v>
      </c>
      <c r="F265" t="inlineStr">
        <is>
          <t>VÄSTRA GÖTALANDS LÄN</t>
        </is>
      </c>
      <c r="G265" t="inlineStr">
        <is>
          <t>TANUM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35201-2023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46219</v>
      </c>
      <c r="F266" t="inlineStr">
        <is>
          <t>VÄSTRA GÖTALANDS LÄN</t>
        </is>
      </c>
      <c r="G266" t="inlineStr">
        <is>
          <t>TANUM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50868-2025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46219</v>
      </c>
      <c r="F267" t="inlineStr">
        <is>
          <t>VÄSTRA GÖTALANDS LÄN</t>
        </is>
      </c>
      <c r="G267" t="inlineStr">
        <is>
          <t>TANUM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30395-2026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46219</v>
      </c>
      <c r="F268" t="inlineStr">
        <is>
          <t>VÄSTRA GÖTALANDS LÄN</t>
        </is>
      </c>
      <c r="G268" t="inlineStr">
        <is>
          <t>TANUM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72223-2021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44544</v>
      </c>
      <c r="E269" s="1" t="n">
        <v>46219</v>
      </c>
      <c r="F269" t="inlineStr">
        <is>
          <t>VÄSTRA GÖTALANDS LÄN</t>
        </is>
      </c>
      <c r="G269" t="inlineStr">
        <is>
          <t>TANUM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56944-2025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46219</v>
      </c>
      <c r="F270" t="inlineStr">
        <is>
          <t>VÄSTRA GÖTALANDS LÄN</t>
        </is>
      </c>
      <c r="G270" t="inlineStr">
        <is>
          <t>TANUM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46219</v>
      </c>
      <c r="F271" t="inlineStr">
        <is>
          <t>VÄSTRA GÖTALANDS LÄN</t>
        </is>
      </c>
      <c r="G271" t="inlineStr">
        <is>
          <t>TANUM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41067-2023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46219</v>
      </c>
      <c r="F272" t="inlineStr">
        <is>
          <t>VÄSTRA GÖTALANDS LÄN</t>
        </is>
      </c>
      <c r="G272" t="inlineStr">
        <is>
          <t>TANUM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30322-2026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46207</v>
      </c>
      <c r="E273" s="1" t="n">
        <v>46219</v>
      </c>
      <c r="F273" t="inlineStr">
        <is>
          <t>VÄSTRA GÖTALANDS LÄN</t>
        </is>
      </c>
      <c r="G273" t="inlineStr">
        <is>
          <t>TANUM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12343-2023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44999</v>
      </c>
      <c r="E274" s="1" t="n">
        <v>46219</v>
      </c>
      <c r="F274" t="inlineStr">
        <is>
          <t>VÄSTRA GÖTALANDS LÄN</t>
        </is>
      </c>
      <c r="G274" t="inlineStr">
        <is>
          <t>TANUM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12853-2024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45384</v>
      </c>
      <c r="E275" s="1" t="n">
        <v>46219</v>
      </c>
      <c r="F275" t="inlineStr">
        <is>
          <t>VÄSTRA GÖTALANDS LÄN</t>
        </is>
      </c>
      <c r="G275" t="inlineStr">
        <is>
          <t>TANUM</t>
        </is>
      </c>
      <c r="I275" t="n">
        <v>10.7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45384</v>
      </c>
      <c r="E276" s="1" t="n">
        <v>46219</v>
      </c>
      <c r="F276" t="inlineStr">
        <is>
          <t>VÄSTRA GÖTALANDS LÄN</t>
        </is>
      </c>
      <c r="G276" t="inlineStr">
        <is>
          <t>TANUM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14004-2024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45392</v>
      </c>
      <c r="E277" s="1" t="n">
        <v>46219</v>
      </c>
      <c r="F277" t="inlineStr">
        <is>
          <t>VÄSTRA GÖTALANDS LÄN</t>
        </is>
      </c>
      <c r="G277" t="inlineStr">
        <is>
          <t>TANUM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18882-2026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46129</v>
      </c>
      <c r="E278" s="1" t="n">
        <v>46219</v>
      </c>
      <c r="F278" t="inlineStr">
        <is>
          <t>VÄSTRA GÖTALANDS LÄN</t>
        </is>
      </c>
      <c r="G278" t="inlineStr">
        <is>
          <t>TANUM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58468-2025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46219</v>
      </c>
      <c r="F279" t="inlineStr">
        <is>
          <t>VÄSTRA GÖTALANDS LÄN</t>
        </is>
      </c>
      <c r="G279" t="inlineStr">
        <is>
          <t>TANUM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46241-2023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45196</v>
      </c>
      <c r="E280" s="1" t="n">
        <v>46219</v>
      </c>
      <c r="F280" t="inlineStr">
        <is>
          <t>VÄSTRA GÖTALANDS LÄN</t>
        </is>
      </c>
      <c r="G280" t="inlineStr">
        <is>
          <t>TANUM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39549-2024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45552</v>
      </c>
      <c r="E281" s="1" t="n">
        <v>46219</v>
      </c>
      <c r="F281" t="inlineStr">
        <is>
          <t>VÄSTRA GÖTALANDS LÄN</t>
        </is>
      </c>
      <c r="G281" t="inlineStr">
        <is>
          <t>TANUM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44579</v>
      </c>
      <c r="E282" s="1" t="n">
        <v>46219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58809-2025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45987</v>
      </c>
      <c r="E283" s="1" t="n">
        <v>46219</v>
      </c>
      <c r="F283" t="inlineStr">
        <is>
          <t>VÄSTRA GÖTALANDS LÄN</t>
        </is>
      </c>
      <c r="G283" t="inlineStr">
        <is>
          <t>TANUM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45698</v>
      </c>
      <c r="E284" s="1" t="n">
        <v>46219</v>
      </c>
      <c r="F284" t="inlineStr">
        <is>
          <t>VÄSTRA GÖTALANDS LÄN</t>
        </is>
      </c>
      <c r="G284" t="inlineStr">
        <is>
          <t>TANUM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42795-2024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46219</v>
      </c>
      <c r="F285" t="inlineStr">
        <is>
          <t>VÄSTRA GÖTALANDS LÄN</t>
        </is>
      </c>
      <c r="G285" t="inlineStr">
        <is>
          <t>TANUM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72227-2021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46219</v>
      </c>
      <c r="F286" t="inlineStr">
        <is>
          <t>VÄSTRA GÖTALANDS LÄN</t>
        </is>
      </c>
      <c r="G286" t="inlineStr">
        <is>
          <t>TANUM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44572</v>
      </c>
      <c r="E287" s="1" t="n">
        <v>46219</v>
      </c>
      <c r="F287" t="inlineStr">
        <is>
          <t>VÄSTRA GÖTALANDS LÄN</t>
        </is>
      </c>
      <c r="G287" t="inlineStr">
        <is>
          <t>TANUM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14544-2025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46219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60768-2023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46219</v>
      </c>
      <c r="F289" t="inlineStr">
        <is>
          <t>VÄSTRA GÖTALANDS LÄN</t>
        </is>
      </c>
      <c r="G289" t="inlineStr">
        <is>
          <t>TANUM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46219</v>
      </c>
      <c r="F290" t="inlineStr">
        <is>
          <t>VÄSTRA GÖTALANDS LÄN</t>
        </is>
      </c>
      <c r="G290" t="inlineStr">
        <is>
          <t>TANUM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46219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66945-2021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44522</v>
      </c>
      <c r="E292" s="1" t="n">
        <v>46219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25441-2024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45463</v>
      </c>
      <c r="E293" s="1" t="n">
        <v>46219</v>
      </c>
      <c r="F293" t="inlineStr">
        <is>
          <t>VÄSTRA GÖTALANDS LÄN</t>
        </is>
      </c>
      <c r="G293" t="inlineStr">
        <is>
          <t>TANUM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25161-2026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46219</v>
      </c>
      <c r="F294" t="inlineStr">
        <is>
          <t>VÄSTRA GÖTALANDS LÄN</t>
        </is>
      </c>
      <c r="G294" t="inlineStr">
        <is>
          <t>TANUM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8584-2022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44613</v>
      </c>
      <c r="E295" s="1" t="n">
        <v>46219</v>
      </c>
      <c r="F295" t="inlineStr">
        <is>
          <t>VÄSTRA GÖTALANDS LÄN</t>
        </is>
      </c>
      <c r="G295" t="inlineStr">
        <is>
          <t>TANUM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46219</v>
      </c>
      <c r="F296" t="inlineStr">
        <is>
          <t>VÄSTRA GÖTALANDS LÄN</t>
        </is>
      </c>
      <c r="G296" t="inlineStr">
        <is>
          <t>TANUM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46219</v>
      </c>
      <c r="F297" t="inlineStr">
        <is>
          <t>VÄSTRA GÖTALANDS LÄN</t>
        </is>
      </c>
      <c r="G297" t="inlineStr">
        <is>
          <t>TANUM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41031-2023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45170</v>
      </c>
      <c r="E298" s="1" t="n">
        <v>46219</v>
      </c>
      <c r="F298" t="inlineStr">
        <is>
          <t>VÄSTRA GÖTALANDS LÄN</t>
        </is>
      </c>
      <c r="G298" t="inlineStr">
        <is>
          <t>TANUM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46219</v>
      </c>
      <c r="F299" t="inlineStr">
        <is>
          <t>VÄSTRA GÖTALANDS LÄN</t>
        </is>
      </c>
      <c r="G299" t="inlineStr">
        <is>
          <t>TANUM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25321-2026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46219</v>
      </c>
      <c r="F300" t="inlineStr">
        <is>
          <t>VÄSTRA GÖTALANDS LÄN</t>
        </is>
      </c>
      <c r="G300" t="inlineStr">
        <is>
          <t>TANUM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25323-2026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46176</v>
      </c>
      <c r="E301" s="1" t="n">
        <v>46219</v>
      </c>
      <c r="F301" t="inlineStr">
        <is>
          <t>VÄSTRA GÖTALANDS LÄN</t>
        </is>
      </c>
      <c r="G301" t="inlineStr">
        <is>
          <t>TANUM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44591</v>
      </c>
      <c r="E302" s="1" t="n">
        <v>46219</v>
      </c>
      <c r="F302" t="inlineStr">
        <is>
          <t>VÄSTRA GÖTALANDS LÄN</t>
        </is>
      </c>
      <c r="G302" t="inlineStr">
        <is>
          <t>TANUM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64990-2021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44514</v>
      </c>
      <c r="E303" s="1" t="n">
        <v>46219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61255-2025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46219</v>
      </c>
      <c r="F304" t="inlineStr">
        <is>
          <t>VÄSTRA GÖTALANDS LÄN</t>
        </is>
      </c>
      <c r="G304" t="inlineStr">
        <is>
          <t>TANUM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16471-2023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45026</v>
      </c>
      <c r="E305" s="1" t="n">
        <v>46219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24997-2023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45085</v>
      </c>
      <c r="E306" s="1" t="n">
        <v>46219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61890-2025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46219</v>
      </c>
      <c r="F307" t="inlineStr">
        <is>
          <t>VÄSTRA GÖTALANDS LÄN</t>
        </is>
      </c>
      <c r="G307" t="inlineStr">
        <is>
          <t>TANUM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8535-2024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46219</v>
      </c>
      <c r="F308" t="inlineStr">
        <is>
          <t>VÄSTRA GÖTALANDS LÄN</t>
        </is>
      </c>
      <c r="G308" t="inlineStr">
        <is>
          <t>TANUM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45525</v>
      </c>
      <c r="E309" s="1" t="n">
        <v>46219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46219</v>
      </c>
      <c r="F310" t="inlineStr">
        <is>
          <t>VÄSTRA GÖTALANDS LÄN</t>
        </is>
      </c>
      <c r="G310" t="inlineStr">
        <is>
          <t>TANUM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68161-2021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44526</v>
      </c>
      <c r="E311" s="1" t="n">
        <v>46219</v>
      </c>
      <c r="F311" t="inlineStr">
        <is>
          <t>VÄSTRA GÖTALANDS LÄN</t>
        </is>
      </c>
      <c r="G311" t="inlineStr">
        <is>
          <t>TANUM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22434-2024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46219</v>
      </c>
      <c r="F312" t="inlineStr">
        <is>
          <t>VÄSTRA GÖTALANDS LÄN</t>
        </is>
      </c>
      <c r="G312" t="inlineStr">
        <is>
          <t>TANUM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45728</v>
      </c>
      <c r="E313" s="1" t="n">
        <v>46219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49687-2024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45596</v>
      </c>
      <c r="E314" s="1" t="n">
        <v>46219</v>
      </c>
      <c r="F314" t="inlineStr">
        <is>
          <t>VÄSTRA GÖTALANDS LÄN</t>
        </is>
      </c>
      <c r="G314" t="inlineStr">
        <is>
          <t>TANUM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40048-2023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46219</v>
      </c>
      <c r="F315" t="inlineStr">
        <is>
          <t>VÄSTRA GÖTALANDS LÄN</t>
        </is>
      </c>
      <c r="G315" t="inlineStr">
        <is>
          <t>TANUM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17680-2023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46219</v>
      </c>
      <c r="F316" t="inlineStr">
        <is>
          <t>VÄSTRA GÖTALANDS LÄN</t>
        </is>
      </c>
      <c r="G316" t="inlineStr">
        <is>
          <t>TANUM</t>
        </is>
      </c>
      <c r="H316" t="inlineStr">
        <is>
          <t>Kyrkan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46118-2023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45196</v>
      </c>
      <c r="E317" s="1" t="n">
        <v>46219</v>
      </c>
      <c r="F317" t="inlineStr">
        <is>
          <t>VÄSTRA GÖTALANDS LÄN</t>
        </is>
      </c>
      <c r="G317" t="inlineStr">
        <is>
          <t>TANUM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63175-2023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46219</v>
      </c>
      <c r="F318" t="inlineStr">
        <is>
          <t>VÄSTRA GÖTALANDS LÄN</t>
        </is>
      </c>
      <c r="G318" t="inlineStr">
        <is>
          <t>TANUM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63425-2025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46219</v>
      </c>
      <c r="F319" t="inlineStr">
        <is>
          <t>VÄSTRA GÖTALANDS LÄN</t>
        </is>
      </c>
      <c r="G319" t="inlineStr">
        <is>
          <t>TANUM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55022-2023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45237</v>
      </c>
      <c r="E320" s="1" t="n">
        <v>46219</v>
      </c>
      <c r="F320" t="inlineStr">
        <is>
          <t>VÄSTRA GÖTALANDS LÄN</t>
        </is>
      </c>
      <c r="G320" t="inlineStr">
        <is>
          <t>TANUM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63426-2025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46219</v>
      </c>
      <c r="F321" t="inlineStr">
        <is>
          <t>VÄSTRA GÖTALANDS LÄN</t>
        </is>
      </c>
      <c r="G321" t="inlineStr">
        <is>
          <t>TANUM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10743-2022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44627</v>
      </c>
      <c r="E322" s="1" t="n">
        <v>46219</v>
      </c>
      <c r="F322" t="inlineStr">
        <is>
          <t>VÄSTRA GÖTALANDS LÄN</t>
        </is>
      </c>
      <c r="G322" t="inlineStr">
        <is>
          <t>TANUM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45747</v>
      </c>
      <c r="E323" s="1" t="n">
        <v>46219</v>
      </c>
      <c r="F323" t="inlineStr">
        <is>
          <t>VÄSTRA GÖTALANDS LÄN</t>
        </is>
      </c>
      <c r="G323" t="inlineStr">
        <is>
          <t>TANUM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73810-2021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44552</v>
      </c>
      <c r="E324" s="1" t="n">
        <v>46219</v>
      </c>
      <c r="F324" t="inlineStr">
        <is>
          <t>VÄSTRA GÖTALANDS LÄN</t>
        </is>
      </c>
      <c r="G324" t="inlineStr">
        <is>
          <t>TANUM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23696-2024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45454</v>
      </c>
      <c r="E325" s="1" t="n">
        <v>46219</v>
      </c>
      <c r="F325" t="inlineStr">
        <is>
          <t>VÄSTRA GÖTALANDS LÄN</t>
        </is>
      </c>
      <c r="G325" t="inlineStr">
        <is>
          <t>TANUM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32775-2024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45515</v>
      </c>
      <c r="E326" s="1" t="n">
        <v>46219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51083-2024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45603</v>
      </c>
      <c r="E327" s="1" t="n">
        <v>46219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46219</v>
      </c>
      <c r="F328" t="inlineStr">
        <is>
          <t>VÄSTRA GÖTALANDS LÄN</t>
        </is>
      </c>
      <c r="G328" t="inlineStr">
        <is>
          <t>TANUM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46219</v>
      </c>
      <c r="F329" t="inlineStr">
        <is>
          <t>VÄSTRA GÖTALANDS LÄN</t>
        </is>
      </c>
      <c r="G329" t="inlineStr">
        <is>
          <t>TANUM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7352-2022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44606</v>
      </c>
      <c r="E330" s="1" t="n">
        <v>46219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44841</v>
      </c>
      <c r="E331" s="1" t="n">
        <v>46219</v>
      </c>
      <c r="F331" t="inlineStr">
        <is>
          <t>VÄSTRA GÖTALANDS LÄN</t>
        </is>
      </c>
      <c r="G331" t="inlineStr">
        <is>
          <t>TANUM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46219</v>
      </c>
      <c r="F332" t="inlineStr">
        <is>
          <t>VÄSTRA GÖTALANDS LÄN</t>
        </is>
      </c>
      <c r="G332" t="inlineStr">
        <is>
          <t>TANUM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45673</v>
      </c>
      <c r="E333" s="1" t="n">
        <v>46219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46219</v>
      </c>
      <c r="F334" t="inlineStr">
        <is>
          <t>VÄSTRA GÖTALANDS LÄN</t>
        </is>
      </c>
      <c r="G334" t="inlineStr">
        <is>
          <t>TANUM</t>
        </is>
      </c>
      <c r="H334" t="inlineStr">
        <is>
          <t>Kommuner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20190-2022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44698</v>
      </c>
      <c r="E335" s="1" t="n">
        <v>46219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46219</v>
      </c>
      <c r="F336" t="inlineStr">
        <is>
          <t>VÄSTRA GÖTALANDS LÄN</t>
        </is>
      </c>
      <c r="G336" t="inlineStr">
        <is>
          <t>TANUM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29930-2023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45107</v>
      </c>
      <c r="E337" s="1" t="n">
        <v>46219</v>
      </c>
      <c r="F337" t="inlineStr">
        <is>
          <t>VÄSTRA GÖTALANDS LÄN</t>
        </is>
      </c>
      <c r="G337" t="inlineStr">
        <is>
          <t>TANUM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15691-2025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45748</v>
      </c>
      <c r="E338" s="1" t="n">
        <v>46219</v>
      </c>
      <c r="F338" t="inlineStr">
        <is>
          <t>VÄSTRA GÖTALANDS LÄN</t>
        </is>
      </c>
      <c r="G338" t="inlineStr">
        <is>
          <t>TANUM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46219</v>
      </c>
      <c r="F339" t="inlineStr">
        <is>
          <t>VÄSTRA GÖTALANDS LÄN</t>
        </is>
      </c>
      <c r="G339" t="inlineStr">
        <is>
          <t>TANUM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46219</v>
      </c>
      <c r="F340" t="inlineStr">
        <is>
          <t>VÄSTRA GÖTALANDS LÄN</t>
        </is>
      </c>
      <c r="G340" t="inlineStr">
        <is>
          <t>TANUM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46219</v>
      </c>
      <c r="F341" t="inlineStr">
        <is>
          <t>VÄSTRA GÖTALANDS LÄN</t>
        </is>
      </c>
      <c r="G341" t="inlineStr">
        <is>
          <t>TANUM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25004-2023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46219</v>
      </c>
      <c r="F342" t="inlineStr">
        <is>
          <t>VÄSTRA GÖTALANDS LÄN</t>
        </is>
      </c>
      <c r="G342" t="inlineStr">
        <is>
          <t>TANUM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23609-2023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45072</v>
      </c>
      <c r="E343" s="1" t="n">
        <v>46219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46219</v>
      </c>
      <c r="F344" t="inlineStr">
        <is>
          <t>VÄSTRA GÖTALANDS LÄN</t>
        </is>
      </c>
      <c r="G344" t="inlineStr">
        <is>
          <t>TANUM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46219</v>
      </c>
      <c r="F345" t="inlineStr">
        <is>
          <t>VÄSTRA GÖTALANDS LÄN</t>
        </is>
      </c>
      <c r="G345" t="inlineStr">
        <is>
          <t>TANUM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46039</v>
      </c>
      <c r="E346" s="1" t="n">
        <v>46219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46219</v>
      </c>
      <c r="F347" t="inlineStr">
        <is>
          <t>VÄSTRA GÖTALANDS LÄN</t>
        </is>
      </c>
      <c r="G347" t="inlineStr">
        <is>
          <t>TANUM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46219</v>
      </c>
      <c r="F348" t="inlineStr">
        <is>
          <t>VÄSTRA GÖTALANDS LÄN</t>
        </is>
      </c>
      <c r="G348" t="inlineStr">
        <is>
          <t>TANUM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46219</v>
      </c>
      <c r="F349" t="inlineStr">
        <is>
          <t>VÄSTRA GÖTALANDS LÄN</t>
        </is>
      </c>
      <c r="G349" t="inlineStr">
        <is>
          <t>TANUM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46219</v>
      </c>
      <c r="F350" t="inlineStr">
        <is>
          <t>VÄSTRA GÖTALANDS LÄN</t>
        </is>
      </c>
      <c r="G350" t="inlineStr">
        <is>
          <t>TANUM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62005-2024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45655</v>
      </c>
      <c r="E351" s="1" t="n">
        <v>46219</v>
      </c>
      <c r="F351" t="inlineStr">
        <is>
          <t>VÄSTRA GÖTALANDS LÄN</t>
        </is>
      </c>
      <c r="G351" t="inlineStr">
        <is>
          <t>TANUM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46044</v>
      </c>
      <c r="E352" s="1" t="n">
        <v>46219</v>
      </c>
      <c r="F352" t="inlineStr">
        <is>
          <t>VÄSTRA GÖTALANDS LÄN</t>
        </is>
      </c>
      <c r="G352" t="inlineStr">
        <is>
          <t>TANUM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46219</v>
      </c>
      <c r="F353" t="inlineStr">
        <is>
          <t>VÄSTRA GÖTALANDS LÄN</t>
        </is>
      </c>
      <c r="G353" t="inlineStr">
        <is>
          <t>TANUM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46219</v>
      </c>
      <c r="F354" t="inlineStr">
        <is>
          <t>VÄSTRA GÖTALANDS LÄN</t>
        </is>
      </c>
      <c r="G354" t="inlineStr">
        <is>
          <t>TANUM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46219</v>
      </c>
      <c r="F355" t="inlineStr">
        <is>
          <t>VÄSTRA GÖTALANDS LÄN</t>
        </is>
      </c>
      <c r="G355" t="inlineStr">
        <is>
          <t>TANUM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46219</v>
      </c>
      <c r="F356" t="inlineStr">
        <is>
          <t>VÄSTRA GÖTALANDS LÄN</t>
        </is>
      </c>
      <c r="G356" t="inlineStr">
        <is>
          <t>TANUM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44894-2023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45190</v>
      </c>
      <c r="E357" s="1" t="n">
        <v>46219</v>
      </c>
      <c r="F357" t="inlineStr">
        <is>
          <t>VÄSTRA GÖTALANDS LÄN</t>
        </is>
      </c>
      <c r="G357" t="inlineStr">
        <is>
          <t>TANUM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22666-2025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45789</v>
      </c>
      <c r="E358" s="1" t="n">
        <v>46219</v>
      </c>
      <c r="F358" t="inlineStr">
        <is>
          <t>VÄSTRA GÖTALANDS LÄN</t>
        </is>
      </c>
      <c r="G358" t="inlineStr">
        <is>
          <t>TANUM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46219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22663-2025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45789</v>
      </c>
      <c r="E360" s="1" t="n">
        <v>46219</v>
      </c>
      <c r="F360" t="inlineStr">
        <is>
          <t>VÄSTRA GÖTALANDS LÄN</t>
        </is>
      </c>
      <c r="G360" t="inlineStr">
        <is>
          <t>TANUM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21240-2024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46219</v>
      </c>
      <c r="F361" t="inlineStr">
        <is>
          <t>VÄSTRA GÖTALANDS LÄN</t>
        </is>
      </c>
      <c r="G361" t="inlineStr">
        <is>
          <t>TANUM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7108-2026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46219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Kyrkan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45649</v>
      </c>
      <c r="E363" s="1" t="n">
        <v>46219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37073-2023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45154</v>
      </c>
      <c r="E364" s="1" t="n">
        <v>46219</v>
      </c>
      <c r="F364" t="inlineStr">
        <is>
          <t>VÄSTRA GÖTALANDS LÄN</t>
        </is>
      </c>
      <c r="G364" t="inlineStr">
        <is>
          <t>TANUM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23115-2025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46219</v>
      </c>
      <c r="F365" t="inlineStr">
        <is>
          <t>VÄSTRA GÖTALANDS LÄN</t>
        </is>
      </c>
      <c r="G365" t="inlineStr">
        <is>
          <t>TANUM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46219</v>
      </c>
      <c r="F366" t="inlineStr">
        <is>
          <t>VÄSTRA GÖTALANDS LÄN</t>
        </is>
      </c>
      <c r="G366" t="inlineStr">
        <is>
          <t>TANUM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9445-2026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46219</v>
      </c>
      <c r="F367" t="inlineStr">
        <is>
          <t>VÄSTRA GÖTALANDS LÄN</t>
        </is>
      </c>
      <c r="G367" t="inlineStr">
        <is>
          <t>TANUM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9437-2026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46219</v>
      </c>
      <c r="F368" t="inlineStr">
        <is>
          <t>VÄSTRA GÖTALANDS LÄN</t>
        </is>
      </c>
      <c r="G368" t="inlineStr">
        <is>
          <t>TANUM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14269-2022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46219</v>
      </c>
      <c r="F369" t="inlineStr">
        <is>
          <t>VÄSTRA GÖTALANDS LÄN</t>
        </is>
      </c>
      <c r="G369" t="inlineStr">
        <is>
          <t>TANUM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46219</v>
      </c>
      <c r="F370" t="inlineStr">
        <is>
          <t>VÄSTRA GÖTALANDS LÄN</t>
        </is>
      </c>
      <c r="G370" t="inlineStr">
        <is>
          <t>TANUM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13832-2025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45737</v>
      </c>
      <c r="E371" s="1" t="n">
        <v>46219</v>
      </c>
      <c r="F371" t="inlineStr">
        <is>
          <t>VÄSTRA GÖTALANDS LÄN</t>
        </is>
      </c>
      <c r="G371" t="inlineStr">
        <is>
          <t>TANUM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17193-2025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45756</v>
      </c>
      <c r="E372" s="1" t="n">
        <v>46219</v>
      </c>
      <c r="F372" t="inlineStr">
        <is>
          <t>VÄSTRA GÖTALANDS LÄN</t>
        </is>
      </c>
      <c r="G372" t="inlineStr">
        <is>
          <t>TANUM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13810-2025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45737</v>
      </c>
      <c r="E373" s="1" t="n">
        <v>46219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11487-2025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46219</v>
      </c>
      <c r="F374" t="inlineStr">
        <is>
          <t>VÄSTRA GÖTALANDS LÄN</t>
        </is>
      </c>
      <c r="G374" t="inlineStr">
        <is>
          <t>TANUM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34331-2022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44792</v>
      </c>
      <c r="E375" s="1" t="n">
        <v>46219</v>
      </c>
      <c r="F375" t="inlineStr">
        <is>
          <t>VÄSTRA GÖTALANDS LÄN</t>
        </is>
      </c>
      <c r="G375" t="inlineStr">
        <is>
          <t>TANUM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24697-2023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46219</v>
      </c>
      <c r="F376" t="inlineStr">
        <is>
          <t>VÄSTRA GÖTALANDS LÄN</t>
        </is>
      </c>
      <c r="G376" t="inlineStr">
        <is>
          <t>TANUM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45303</v>
      </c>
      <c r="E377" s="1" t="n">
        <v>46219</v>
      </c>
      <c r="F377" t="inlineStr">
        <is>
          <t>VÄSTRA GÖTALANDS LÄN</t>
        </is>
      </c>
      <c r="G377" t="inlineStr">
        <is>
          <t>TANUM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46219</v>
      </c>
      <c r="F378" t="inlineStr">
        <is>
          <t>VÄSTRA GÖTALANDS LÄN</t>
        </is>
      </c>
      <c r="G378" t="inlineStr">
        <is>
          <t>TANUM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37069-2023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45154</v>
      </c>
      <c r="E379" s="1" t="n">
        <v>46219</v>
      </c>
      <c r="F379" t="inlineStr">
        <is>
          <t>VÄSTRA GÖTALANDS LÄN</t>
        </is>
      </c>
      <c r="G379" t="inlineStr">
        <is>
          <t>TANUM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46219</v>
      </c>
      <c r="F380" t="inlineStr">
        <is>
          <t>VÄSTRA GÖTALANDS LÄN</t>
        </is>
      </c>
      <c r="G380" t="inlineStr">
        <is>
          <t>TANUM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46219</v>
      </c>
      <c r="F381" t="inlineStr">
        <is>
          <t>VÄSTRA GÖTALANDS LÄN</t>
        </is>
      </c>
      <c r="G381" t="inlineStr">
        <is>
          <t>TANUM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39480-2024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45551</v>
      </c>
      <c r="E382" s="1" t="n">
        <v>46219</v>
      </c>
      <c r="F382" t="inlineStr">
        <is>
          <t>VÄSTRA GÖTALANDS LÄN</t>
        </is>
      </c>
      <c r="G382" t="inlineStr">
        <is>
          <t>TANUM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35599-2022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44799</v>
      </c>
      <c r="E383" s="1" t="n">
        <v>46219</v>
      </c>
      <c r="F383" t="inlineStr">
        <is>
          <t>VÄSTRA GÖTALANDS LÄN</t>
        </is>
      </c>
      <c r="G383" t="inlineStr">
        <is>
          <t>TANUM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26508-2022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44739</v>
      </c>
      <c r="E384" s="1" t="n">
        <v>46219</v>
      </c>
      <c r="F384" t="inlineStr">
        <is>
          <t>VÄSTRA GÖTALANDS LÄN</t>
        </is>
      </c>
      <c r="G384" t="inlineStr">
        <is>
          <t>TANUM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14012-2024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46219</v>
      </c>
      <c r="F385" t="inlineStr">
        <is>
          <t>VÄSTRA GÖTALANDS LÄN</t>
        </is>
      </c>
      <c r="G385" t="inlineStr">
        <is>
          <t>TANUM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53421-2022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44879</v>
      </c>
      <c r="E386" s="1" t="n">
        <v>46219</v>
      </c>
      <c r="F386" t="inlineStr">
        <is>
          <t>VÄSTRA GÖTALANDS LÄN</t>
        </is>
      </c>
      <c r="G386" t="inlineStr">
        <is>
          <t>TANUM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14895-2025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45743</v>
      </c>
      <c r="E387" s="1" t="n">
        <v>46219</v>
      </c>
      <c r="F387" t="inlineStr">
        <is>
          <t>VÄSTRA GÖTALANDS LÄN</t>
        </is>
      </c>
      <c r="G387" t="inlineStr">
        <is>
          <t>TANUM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11736-2026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46219</v>
      </c>
      <c r="F388" t="inlineStr">
        <is>
          <t>VÄSTRA GÖTALANDS LÄN</t>
        </is>
      </c>
      <c r="G388" t="inlineStr">
        <is>
          <t>TANUM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11750-2026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46219</v>
      </c>
      <c r="F389" t="inlineStr">
        <is>
          <t>VÄSTRA GÖTALANDS LÄN</t>
        </is>
      </c>
      <c r="G389" t="inlineStr">
        <is>
          <t>TANUM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11809-2026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46085</v>
      </c>
      <c r="E390" s="1" t="n">
        <v>46219</v>
      </c>
      <c r="F390" t="inlineStr">
        <is>
          <t>VÄSTRA GÖTALANDS LÄN</t>
        </is>
      </c>
      <c r="G390" t="inlineStr">
        <is>
          <t>TANUM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45293</v>
      </c>
      <c r="E391" s="1" t="n">
        <v>46219</v>
      </c>
      <c r="F391" t="inlineStr">
        <is>
          <t>VÄSTRA GÖTALANDS LÄN</t>
        </is>
      </c>
      <c r="G391" t="inlineStr">
        <is>
          <t>TANUM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9697-2024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46219</v>
      </c>
      <c r="F392" t="inlineStr">
        <is>
          <t>VÄSTRA GÖTALANDS LÄN</t>
        </is>
      </c>
      <c r="G392" t="inlineStr">
        <is>
          <t>TANUM</t>
        </is>
      </c>
      <c r="H392" t="inlineStr">
        <is>
          <t>Kyrkan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24116-2022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44725</v>
      </c>
      <c r="E393" s="1" t="n">
        <v>46219</v>
      </c>
      <c r="F393" t="inlineStr">
        <is>
          <t>VÄSTRA GÖTALANDS LÄN</t>
        </is>
      </c>
      <c r="G393" t="inlineStr">
        <is>
          <t>TANUM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45300</v>
      </c>
      <c r="E394" s="1" t="n">
        <v>46219</v>
      </c>
      <c r="F394" t="inlineStr">
        <is>
          <t>VÄSTRA GÖTALANDS LÄN</t>
        </is>
      </c>
      <c r="G394" t="inlineStr">
        <is>
          <t>TANUM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62500-2023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46219</v>
      </c>
      <c r="F395" t="inlineStr">
        <is>
          <t>VÄSTRA GÖTALANDS LÄN</t>
        </is>
      </c>
      <c r="G395" t="inlineStr">
        <is>
          <t>TANUM</t>
        </is>
      </c>
      <c r="H395" t="inlineStr">
        <is>
          <t>Kyrkan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35720-2022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44799</v>
      </c>
      <c r="E396" s="1" t="n">
        <v>46219</v>
      </c>
      <c r="F396" t="inlineStr">
        <is>
          <t>VÄSTRA GÖTALANDS LÄN</t>
        </is>
      </c>
      <c r="G396" t="inlineStr">
        <is>
          <t>TANUM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11936-2025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45728</v>
      </c>
      <c r="E397" s="1" t="n">
        <v>46219</v>
      </c>
      <c r="F397" t="inlineStr">
        <is>
          <t>VÄSTRA GÖTALANDS LÄN</t>
        </is>
      </c>
      <c r="G397" t="inlineStr">
        <is>
          <t>TANUM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62676-2023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46219</v>
      </c>
      <c r="F398" t="inlineStr">
        <is>
          <t>VÄSTRA GÖTALANDS LÄN</t>
        </is>
      </c>
      <c r="G398" t="inlineStr">
        <is>
          <t>TANUM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13160-2026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46219</v>
      </c>
      <c r="F399" t="inlineStr">
        <is>
          <t>VÄSTRA GÖTALANDS LÄN</t>
        </is>
      </c>
      <c r="G399" t="inlineStr">
        <is>
          <t>TANUM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42080-2021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44426</v>
      </c>
      <c r="E400" s="1" t="n">
        <v>46219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Kyrkan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44812-2021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44438</v>
      </c>
      <c r="E401" s="1" t="n">
        <v>46219</v>
      </c>
      <c r="F401" t="inlineStr">
        <is>
          <t>VÄSTRA GÖTALANDS LÄN</t>
        </is>
      </c>
      <c r="G401" t="inlineStr">
        <is>
          <t>TANUM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45747-2021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44441</v>
      </c>
      <c r="E402" s="1" t="n">
        <v>46219</v>
      </c>
      <c r="F402" t="inlineStr">
        <is>
          <t>VÄSTRA GÖTALANDS LÄN</t>
        </is>
      </c>
      <c r="G402" t="inlineStr">
        <is>
          <t>TANUM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14248-2026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46099</v>
      </c>
      <c r="E403" s="1" t="n">
        <v>46219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15061-2023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46219</v>
      </c>
      <c r="F404" t="inlineStr">
        <is>
          <t>VÄSTRA GÖTALANDS LÄN</t>
        </is>
      </c>
      <c r="G404" t="inlineStr">
        <is>
          <t>TANUM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45309</v>
      </c>
      <c r="E405" s="1" t="n">
        <v>46219</v>
      </c>
      <c r="F405" t="inlineStr">
        <is>
          <t>VÄSTRA GÖTALANDS LÄN</t>
        </is>
      </c>
      <c r="G405" t="inlineStr">
        <is>
          <t>TANUM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46219</v>
      </c>
      <c r="F406" t="inlineStr">
        <is>
          <t>VÄSTRA GÖTALANDS LÄN</t>
        </is>
      </c>
      <c r="G406" t="inlineStr">
        <is>
          <t>TANUM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14469-2026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46219</v>
      </c>
      <c r="F407" t="inlineStr">
        <is>
          <t>VÄSTRA GÖTALANDS LÄN</t>
        </is>
      </c>
      <c r="G407" t="inlineStr">
        <is>
          <t>TANUM</t>
        </is>
      </c>
      <c r="H407" t="inlineStr">
        <is>
          <t>Sveaskog</t>
        </is>
      </c>
      <c r="I407" t="n">
        <v>12.2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14498-2026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46219</v>
      </c>
      <c r="F408" t="inlineStr">
        <is>
          <t>VÄSTRA GÖTALANDS LÄN</t>
        </is>
      </c>
      <c r="G408" t="inlineStr">
        <is>
          <t>TANUM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63173-2023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45273</v>
      </c>
      <c r="E409" s="1" t="n">
        <v>46219</v>
      </c>
      <c r="F409" t="inlineStr">
        <is>
          <t>VÄSTRA GÖTALANDS LÄN</t>
        </is>
      </c>
      <c r="G409" t="inlineStr">
        <is>
          <t>TANUM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62516-2023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46219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60624-2021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46219</v>
      </c>
      <c r="F411" t="inlineStr">
        <is>
          <t>VÄSTRA GÖTALANDS LÄN</t>
        </is>
      </c>
      <c r="G411" t="inlineStr">
        <is>
          <t>TANUM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63834-2023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45278</v>
      </c>
      <c r="E412" s="1" t="n">
        <v>46219</v>
      </c>
      <c r="F412" t="inlineStr">
        <is>
          <t>VÄSTRA GÖTALANDS LÄN</t>
        </is>
      </c>
      <c r="G412" t="inlineStr">
        <is>
          <t>TANUM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28795-2023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45104</v>
      </c>
      <c r="E413" s="1" t="n">
        <v>46219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Naturvårdsverket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57029-2024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45628</v>
      </c>
      <c r="E414" s="1" t="n">
        <v>46219</v>
      </c>
      <c r="F414" t="inlineStr">
        <is>
          <t>VÄSTRA GÖTALANDS LÄN</t>
        </is>
      </c>
      <c r="G414" t="inlineStr">
        <is>
          <t>TANUM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26264-2025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46219</v>
      </c>
      <c r="F415" t="inlineStr">
        <is>
          <t>VÄSTRA GÖTALANDS LÄN</t>
        </is>
      </c>
      <c r="G415" t="inlineStr">
        <is>
          <t>TANUM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61715-2023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46219</v>
      </c>
      <c r="F416" t="inlineStr">
        <is>
          <t>VÄSTRA GÖTALANDS LÄN</t>
        </is>
      </c>
      <c r="G416" t="inlineStr">
        <is>
          <t>TANUM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8474-2024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46219</v>
      </c>
      <c r="F417" t="inlineStr">
        <is>
          <t>VÄSTRA GÖTALANDS LÄN</t>
        </is>
      </c>
      <c r="G417" t="inlineStr">
        <is>
          <t>TANUM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43242-2022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46219</v>
      </c>
      <c r="F418" t="inlineStr">
        <is>
          <t>VÄSTRA GÖTALANDS LÄN</t>
        </is>
      </c>
      <c r="G418" t="inlineStr">
        <is>
          <t>TANUM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45303</v>
      </c>
      <c r="E419" s="1" t="n">
        <v>46219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57684-2022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46219</v>
      </c>
      <c r="F420" t="inlineStr">
        <is>
          <t>VÄSTRA GÖTALANDS LÄN</t>
        </is>
      </c>
      <c r="G420" t="inlineStr">
        <is>
          <t>TANUM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16603-2025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45753</v>
      </c>
      <c r="E421" s="1" t="n">
        <v>46219</v>
      </c>
      <c r="F421" t="inlineStr">
        <is>
          <t>VÄSTRA GÖTALANDS LÄN</t>
        </is>
      </c>
      <c r="G421" t="inlineStr">
        <is>
          <t>TANUM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48750-2024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45593</v>
      </c>
      <c r="E422" s="1" t="n">
        <v>46219</v>
      </c>
      <c r="F422" t="inlineStr">
        <is>
          <t>VÄSTRA GÖTALANDS LÄN</t>
        </is>
      </c>
      <c r="G422" t="inlineStr">
        <is>
          <t>TANUM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44585</v>
      </c>
      <c r="E423" s="1" t="n">
        <v>46219</v>
      </c>
      <c r="F423" t="inlineStr">
        <is>
          <t>VÄSTRA GÖTALANDS LÄN</t>
        </is>
      </c>
      <c r="G423" t="inlineStr">
        <is>
          <t>TANUM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4224-2024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45324</v>
      </c>
      <c r="E424" s="1" t="n">
        <v>46219</v>
      </c>
      <c r="F424" t="inlineStr">
        <is>
          <t>VÄSTRA GÖTALANDS LÄN</t>
        </is>
      </c>
      <c r="G424" t="inlineStr">
        <is>
          <t>TANUM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59821-2022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46219</v>
      </c>
      <c r="F425" t="inlineStr">
        <is>
          <t>VÄSTRA GÖTALANDS LÄN</t>
        </is>
      </c>
      <c r="G425" t="inlineStr">
        <is>
          <t>TANUM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1440-2022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44573</v>
      </c>
      <c r="E426" s="1" t="n">
        <v>46219</v>
      </c>
      <c r="F426" t="inlineStr">
        <is>
          <t>VÄSTRA GÖTALANDS LÄN</t>
        </is>
      </c>
      <c r="G426" t="inlineStr">
        <is>
          <t>TANUM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46219</v>
      </c>
      <c r="F427" t="inlineStr">
        <is>
          <t>VÄSTRA GÖTALANDS LÄN</t>
        </is>
      </c>
      <c r="G427" t="inlineStr">
        <is>
          <t>TANUM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60911-2023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45261</v>
      </c>
      <c r="E428" s="1" t="n">
        <v>46219</v>
      </c>
      <c r="F428" t="inlineStr">
        <is>
          <t>VÄSTRA GÖTALANDS LÄN</t>
        </is>
      </c>
      <c r="G428" t="inlineStr">
        <is>
          <t>TANUM</t>
        </is>
      </c>
      <c r="I428" t="n">
        <v>11.3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63198-2025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46219</v>
      </c>
      <c r="F429" t="inlineStr">
        <is>
          <t>VÄSTRA GÖTALANDS LÄN</t>
        </is>
      </c>
      <c r="G429" t="inlineStr">
        <is>
          <t>TANUM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43594-2023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46219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37099-2023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46219</v>
      </c>
      <c r="F431" t="inlineStr">
        <is>
          <t>VÄSTRA GÖTALANDS LÄN</t>
        </is>
      </c>
      <c r="G431" t="inlineStr">
        <is>
          <t>TANUM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50941-2022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46219</v>
      </c>
      <c r="F432" t="inlineStr">
        <is>
          <t>VÄSTRA GÖTALANDS LÄN</t>
        </is>
      </c>
      <c r="G432" t="inlineStr">
        <is>
          <t>TANUM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28546-2025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46219</v>
      </c>
      <c r="F433" t="inlineStr">
        <is>
          <t>VÄSTRA GÖTALANDS LÄN</t>
        </is>
      </c>
      <c r="G433" t="inlineStr">
        <is>
          <t>TANUM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11145-2024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45371</v>
      </c>
      <c r="E434" s="1" t="n">
        <v>46219</v>
      </c>
      <c r="F434" t="inlineStr">
        <is>
          <t>VÄSTRA GÖTALANDS LÄN</t>
        </is>
      </c>
      <c r="G434" t="inlineStr">
        <is>
          <t>TANUM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7900-2024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46219</v>
      </c>
      <c r="F435" t="inlineStr">
        <is>
          <t>VÄSTRA GÖTALANDS LÄN</t>
        </is>
      </c>
      <c r="G435" t="inlineStr">
        <is>
          <t>TANUM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29317-2025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46219</v>
      </c>
      <c r="F436" t="inlineStr">
        <is>
          <t>VÄSTRA GÖTALANDS LÄN</t>
        </is>
      </c>
      <c r="G436" t="inlineStr">
        <is>
          <t>TANUM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70979-2021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46219</v>
      </c>
      <c r="F437" t="inlineStr">
        <is>
          <t>VÄSTRA GÖTALANDS LÄN</t>
        </is>
      </c>
      <c r="G437" t="inlineStr">
        <is>
          <t>TANUM</t>
        </is>
      </c>
      <c r="I437" t="n">
        <v>19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25804-2026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46219</v>
      </c>
      <c r="F438" t="inlineStr">
        <is>
          <t>VÄSTRA GÖTALANDS LÄN</t>
        </is>
      </c>
      <c r="G438" t="inlineStr">
        <is>
          <t>TANUM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13044-2023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45002</v>
      </c>
      <c r="E439" s="1" t="n">
        <v>46219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64997-2023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45286</v>
      </c>
      <c r="E440" s="1" t="n">
        <v>46219</v>
      </c>
      <c r="F440" t="inlineStr">
        <is>
          <t>VÄSTRA GÖTALANDS LÄN</t>
        </is>
      </c>
      <c r="G440" t="inlineStr">
        <is>
          <t>TANUM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25791-2026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46219</v>
      </c>
      <c r="F441" t="inlineStr">
        <is>
          <t>VÄSTRA GÖTALANDS LÄN</t>
        </is>
      </c>
      <c r="G441" t="inlineStr">
        <is>
          <t>TANUM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37977-2024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45544</v>
      </c>
      <c r="E442" s="1" t="n">
        <v>46219</v>
      </c>
      <c r="F442" t="inlineStr">
        <is>
          <t>VÄSTRA GÖTALANDS LÄN</t>
        </is>
      </c>
      <c r="G442" t="inlineStr">
        <is>
          <t>TANUM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25518-2026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46219</v>
      </c>
      <c r="F443" t="inlineStr">
        <is>
          <t>VÄSTRA GÖTALANDS LÄN</t>
        </is>
      </c>
      <c r="G443" t="inlineStr">
        <is>
          <t>TANUM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17471-2023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46219</v>
      </c>
      <c r="F444" t="inlineStr">
        <is>
          <t>VÄSTRA GÖTALANDS LÄN</t>
        </is>
      </c>
      <c r="G444" t="inlineStr">
        <is>
          <t>TANUM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10896-2025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46219</v>
      </c>
      <c r="F445" t="inlineStr">
        <is>
          <t>VÄSTRA GÖTALANDS LÄN</t>
        </is>
      </c>
      <c r="G445" t="inlineStr">
        <is>
          <t>TANUM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31683-2025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46219</v>
      </c>
      <c r="F446" t="inlineStr">
        <is>
          <t>VÄSTRA GÖTALANDS LÄN</t>
        </is>
      </c>
      <c r="G446" t="inlineStr">
        <is>
          <t>TANUM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31736-2025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46219</v>
      </c>
      <c r="F447" t="inlineStr">
        <is>
          <t>VÄSTRA GÖTALANDS LÄN</t>
        </is>
      </c>
      <c r="G447" t="inlineStr">
        <is>
          <t>TANUM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13432-2024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45387</v>
      </c>
      <c r="E448" s="1" t="n">
        <v>46219</v>
      </c>
      <c r="F448" t="inlineStr">
        <is>
          <t>VÄSTRA GÖTALANDS LÄN</t>
        </is>
      </c>
      <c r="G448" t="inlineStr">
        <is>
          <t>TANUM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17137-2025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45755</v>
      </c>
      <c r="E449" s="1" t="n">
        <v>46219</v>
      </c>
      <c r="F449" t="inlineStr">
        <is>
          <t>VÄSTRA GÖTALANDS LÄN</t>
        </is>
      </c>
      <c r="G449" t="inlineStr">
        <is>
          <t>TANUM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2706-2023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44944</v>
      </c>
      <c r="E450" s="1" t="n">
        <v>46219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36688-2025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45872</v>
      </c>
      <c r="E451" s="1" t="n">
        <v>46219</v>
      </c>
      <c r="F451" t="inlineStr">
        <is>
          <t>VÄSTRA GÖTALANDS LÄN</t>
        </is>
      </c>
      <c r="G451" t="inlineStr">
        <is>
          <t>TANUM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36929-2023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45153</v>
      </c>
      <c r="E452" s="1" t="n">
        <v>46219</v>
      </c>
      <c r="F452" t="inlineStr">
        <is>
          <t>VÄSTRA GÖTALANDS LÄN</t>
        </is>
      </c>
      <c r="G452" t="inlineStr">
        <is>
          <t>TANUM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28807-2025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45820</v>
      </c>
      <c r="E453" s="1" t="n">
        <v>46219</v>
      </c>
      <c r="F453" t="inlineStr">
        <is>
          <t>VÄSTRA GÖTALANDS LÄN</t>
        </is>
      </c>
      <c r="G453" t="inlineStr">
        <is>
          <t>TANUM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29243-2025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45824</v>
      </c>
      <c r="E454" s="1" t="n">
        <v>46219</v>
      </c>
      <c r="F454" t="inlineStr">
        <is>
          <t>VÄSTRA GÖTALANDS LÄN</t>
        </is>
      </c>
      <c r="G454" t="inlineStr">
        <is>
          <t>TANUM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49746-2021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44455</v>
      </c>
      <c r="E455" s="1" t="n">
        <v>46219</v>
      </c>
      <c r="F455" t="inlineStr">
        <is>
          <t>VÄSTRA GÖTALANDS LÄN</t>
        </is>
      </c>
      <c r="G455" t="inlineStr">
        <is>
          <t>TANUM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33864-2025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46219</v>
      </c>
      <c r="F456" t="inlineStr">
        <is>
          <t>VÄSTRA GÖTALANDS LÄN</t>
        </is>
      </c>
      <c r="G456" t="inlineStr">
        <is>
          <t>TANUM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63326-2021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44506</v>
      </c>
      <c r="E457" s="1" t="n">
        <v>46219</v>
      </c>
      <c r="F457" t="inlineStr">
        <is>
          <t>VÄSTRA GÖTALANDS LÄN</t>
        </is>
      </c>
      <c r="G457" t="inlineStr">
        <is>
          <t>TANUM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33840-2025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46219</v>
      </c>
      <c r="F458" t="inlineStr">
        <is>
          <t>VÄSTRA GÖTALANDS LÄN</t>
        </is>
      </c>
      <c r="G458" t="inlineStr">
        <is>
          <t>TANUM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33869-2025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46219</v>
      </c>
      <c r="F459" t="inlineStr">
        <is>
          <t>VÄSTRA GÖTALANDS LÄN</t>
        </is>
      </c>
      <c r="G459" t="inlineStr">
        <is>
          <t>TANUM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33874-2025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46219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45311</v>
      </c>
      <c r="E461" s="1" t="n">
        <v>46219</v>
      </c>
      <c r="F461" t="inlineStr">
        <is>
          <t>VÄSTRA GÖTALANDS LÄN</t>
        </is>
      </c>
      <c r="G461" t="inlineStr">
        <is>
          <t>TANUM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50183-2024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45599</v>
      </c>
      <c r="E462" s="1" t="n">
        <v>46219</v>
      </c>
      <c r="F462" t="inlineStr">
        <is>
          <t>VÄSTRA GÖTALANDS LÄN</t>
        </is>
      </c>
      <c r="G462" t="inlineStr">
        <is>
          <t>TANUM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20238-2026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46219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58873-2025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45987</v>
      </c>
      <c r="E464" s="1" t="n">
        <v>46219</v>
      </c>
      <c r="F464" t="inlineStr">
        <is>
          <t>VÄSTRA GÖTALANDS LÄN</t>
        </is>
      </c>
      <c r="G464" t="inlineStr">
        <is>
          <t>TANUM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28760-2025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45820</v>
      </c>
      <c r="E465" s="1" t="n">
        <v>46219</v>
      </c>
      <c r="F465" t="inlineStr">
        <is>
          <t>VÄSTRA GÖTALANDS LÄN</t>
        </is>
      </c>
      <c r="G465" t="inlineStr">
        <is>
          <t>TANUM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10675-2024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45369</v>
      </c>
      <c r="E466" s="1" t="n">
        <v>46219</v>
      </c>
      <c r="F466" t="inlineStr">
        <is>
          <t>VÄSTRA GÖTALANDS LÄN</t>
        </is>
      </c>
      <c r="G466" t="inlineStr">
        <is>
          <t>TANUM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33976-2024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45522</v>
      </c>
      <c r="E467" s="1" t="n">
        <v>46219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26450-2026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46183</v>
      </c>
      <c r="E468" s="1" t="n">
        <v>46219</v>
      </c>
      <c r="F468" t="inlineStr">
        <is>
          <t>VÄSTRA GÖTALANDS LÄN</t>
        </is>
      </c>
      <c r="G468" t="inlineStr">
        <is>
          <t>TANUM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32683-2025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46219</v>
      </c>
      <c r="F469" t="inlineStr">
        <is>
          <t>VÄSTRA GÖTALANDS LÄN</t>
        </is>
      </c>
      <c r="G469" t="inlineStr">
        <is>
          <t>TANUM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32684-2025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45837</v>
      </c>
      <c r="E470" s="1" t="n">
        <v>46219</v>
      </c>
      <c r="F470" t="inlineStr">
        <is>
          <t>VÄSTRA GÖTALANDS LÄN</t>
        </is>
      </c>
      <c r="G470" t="inlineStr">
        <is>
          <t>TANUM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36884-2025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46219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61213-2022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46219</v>
      </c>
      <c r="F472" t="inlineStr">
        <is>
          <t>VÄSTRA GÖTALANDS LÄN</t>
        </is>
      </c>
      <c r="G472" t="inlineStr">
        <is>
          <t>TANUM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36686-2025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45872</v>
      </c>
      <c r="E473" s="1" t="n">
        <v>46219</v>
      </c>
      <c r="F473" t="inlineStr">
        <is>
          <t>VÄSTRA GÖTALANDS LÄN</t>
        </is>
      </c>
      <c r="G473" t="inlineStr">
        <is>
          <t>TANUM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36742-2025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45873</v>
      </c>
      <c r="E474" s="1" t="n">
        <v>46219</v>
      </c>
      <c r="F474" t="inlineStr">
        <is>
          <t>VÄSTRA GÖTALANDS LÄN</t>
        </is>
      </c>
      <c r="G474" t="inlineStr">
        <is>
          <t>TANUM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36887-2025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46219</v>
      </c>
      <c r="F475" t="inlineStr">
        <is>
          <t>VÄSTRA GÖTALANDS LÄN</t>
        </is>
      </c>
      <c r="G475" t="inlineStr">
        <is>
          <t>TANUM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46219</v>
      </c>
      <c r="F476" t="inlineStr">
        <is>
          <t>VÄSTRA GÖTALANDS LÄN</t>
        </is>
      </c>
      <c r="G476" t="inlineStr">
        <is>
          <t>TANUM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36858-2025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45874</v>
      </c>
      <c r="E477" s="1" t="n">
        <v>46219</v>
      </c>
      <c r="F477" t="inlineStr">
        <is>
          <t>VÄSTRA GÖTALANDS LÄN</t>
        </is>
      </c>
      <c r="G477" t="inlineStr">
        <is>
          <t>TANUM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8473-2025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46219</v>
      </c>
      <c r="F478" t="inlineStr">
        <is>
          <t>VÄSTRA GÖTALANDS LÄN</t>
        </is>
      </c>
      <c r="G478" t="inlineStr">
        <is>
          <t>TANUM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37637-2025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46219</v>
      </c>
      <c r="F479" t="inlineStr">
        <is>
          <t>VÄSTRA GÖTALANDS LÄN</t>
        </is>
      </c>
      <c r="G479" t="inlineStr">
        <is>
          <t>TANUM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37639-2025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45880</v>
      </c>
      <c r="E480" s="1" t="n">
        <v>46219</v>
      </c>
      <c r="F480" t="inlineStr">
        <is>
          <t>VÄSTRA GÖTALANDS LÄN</t>
        </is>
      </c>
      <c r="G480" t="inlineStr">
        <is>
          <t>TANUM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37641-2025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46219</v>
      </c>
      <c r="F481" t="inlineStr">
        <is>
          <t>VÄSTRA GÖTALANDS LÄN</t>
        </is>
      </c>
      <c r="G481" t="inlineStr">
        <is>
          <t>TANUM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27656-2026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46219</v>
      </c>
      <c r="F482" t="inlineStr">
        <is>
          <t>VÄSTRA GÖTALANDS LÄN</t>
        </is>
      </c>
      <c r="G482" t="inlineStr">
        <is>
          <t>TANUM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28997-2026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46219</v>
      </c>
      <c r="F483" t="inlineStr">
        <is>
          <t>VÄSTRA GÖTALANDS LÄN</t>
        </is>
      </c>
      <c r="G483" t="inlineStr">
        <is>
          <t>TANUM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422-2022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44586</v>
      </c>
      <c r="E484" s="1" t="n">
        <v>46219</v>
      </c>
      <c r="F484" t="inlineStr">
        <is>
          <t>VÄSTRA GÖTALANDS LÄN</t>
        </is>
      </c>
      <c r="G484" t="inlineStr">
        <is>
          <t>TANUM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1468-2022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44636</v>
      </c>
      <c r="E485" s="1" t="n">
        <v>46219</v>
      </c>
      <c r="F485" t="inlineStr">
        <is>
          <t>VÄSTRA GÖTALANDS LÄN</t>
        </is>
      </c>
      <c r="G485" t="inlineStr">
        <is>
          <t>TANUM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714-2024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45362</v>
      </c>
      <c r="E486" s="1" t="n">
        <v>46219</v>
      </c>
      <c r="F486" t="inlineStr">
        <is>
          <t>VÄSTRA GÖTALANDS LÄN</t>
        </is>
      </c>
      <c r="G486" t="inlineStr">
        <is>
          <t>TANUM</t>
        </is>
      </c>
      <c r="I486" t="n">
        <v>35.7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9009-2021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44509</v>
      </c>
      <c r="E487" s="1" t="n">
        <v>46219</v>
      </c>
      <c r="F487" t="inlineStr">
        <is>
          <t>VÄSTRA GÖTALANDS LÄN</t>
        </is>
      </c>
      <c r="G487" t="inlineStr">
        <is>
          <t>TANUM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3471-2023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45204</v>
      </c>
      <c r="E488" s="1" t="n">
        <v>46219</v>
      </c>
      <c r="F488" t="inlineStr">
        <is>
          <t>VÄSTRA GÖTALANDS LÄN</t>
        </is>
      </c>
      <c r="G488" t="inlineStr">
        <is>
          <t>TANUM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>
      <c r="A489" t="inlineStr">
        <is>
          <t>S 1128-2026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46133</v>
      </c>
      <c r="E489" s="1" t="n">
        <v>46219</v>
      </c>
      <c r="F489" t="inlineStr">
        <is>
          <t>VÄSTRA GÖTALANDS LÄN</t>
        </is>
      </c>
      <c r="G489" t="inlineStr">
        <is>
          <t>TANUM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2026-07-16T01:27:08Z</dcterms:created>
  <dcterms:modified xmlns:dcterms="http://purl.org/dc/terms/" xmlns:xsi="http://www.w3.org/2001/XMLSchema-instance" xsi:type="dcterms:W3CDTF">2026-07-16T01:27:09Z</dcterms:modified>
</cp:coreProperties>
</file>