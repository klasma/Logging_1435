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45740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45740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45740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45740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45740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45740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45740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45740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45740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45740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45740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45740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45740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45740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45740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45740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45740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45740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45740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45740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45740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45740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45740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45740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45740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45740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45740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45740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45740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45740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45740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45740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45740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45740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45740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45740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45740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45740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45740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45740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45740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45740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45740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45740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45740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45740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45740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45740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45740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45740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10764-2025 artfynd.xlsx", "A 10764-2025")</f>
        <v/>
      </c>
      <c r="T51">
        <f>HYPERLINK("https://klasma.github.io/Logging_1435/kartor/A 10764-2025 karta.png", "A 10764-2025")</f>
        <v/>
      </c>
      <c r="V51">
        <f>HYPERLINK("https://klasma.github.io/Logging_1435/klagomål/A 10764-2025 FSC-klagomål.docx", "A 10764-2025")</f>
        <v/>
      </c>
      <c r="W51">
        <f>HYPERLINK("https://klasma.github.io/Logging_1435/klagomålsmail/A 10764-2025 FSC-klagomål mail.docx", "A 10764-2025")</f>
        <v/>
      </c>
      <c r="X51">
        <f>HYPERLINK("https://klasma.github.io/Logging_1435/tillsyn/A 10764-2025 tillsynsbegäran.docx", "A 10764-2025")</f>
        <v/>
      </c>
      <c r="Y51">
        <f>HYPERLINK("https://klasma.github.io/Logging_1435/tillsynsmail/A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45740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45740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45740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45740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45740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45740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45740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45740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45740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45740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45740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45740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45740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45740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45740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45740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45740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45740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45740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45740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45740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45740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45740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45740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45740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45740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45740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45740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45740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45740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45740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45740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45740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45740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45740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45740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45740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45740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45740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45740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45740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45740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45740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45740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45740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45740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45740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45740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45740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45740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45740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45740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45740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45740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45740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45740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45740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45740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45740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45740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45740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45740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45740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45740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45740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45740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45740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45740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45740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45740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45740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45740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45740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45740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45740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45740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45740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45740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45740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45740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45740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45740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45740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45740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45740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45740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45740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45740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45740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45740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45740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45740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45740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45740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45740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45740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45740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45740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45740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45740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45740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45740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45740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45740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45740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45740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45740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45740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45740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45740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45740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45740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45740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45740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45740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45740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45740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45740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45740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45740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45740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45740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45740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45740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45740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45740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45740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45740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45740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45740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45740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45740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45740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45740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45740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45740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45740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45740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45740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45740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45740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45740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45740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45740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45740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45740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45740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45740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45740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45740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45740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45740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45740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45740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45740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45740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45740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45740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45740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45740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45740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45740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45740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45740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45740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45740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45740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45740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45740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45740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45740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45740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45740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45740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45740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45740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45740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45740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45740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45740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45740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45740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45740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45740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45740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45740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45740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45740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45740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45740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45740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45740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45740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45740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45740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45740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45740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45740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45740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45740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45740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45740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45740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45740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45740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45740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45740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45740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45740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45740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45740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45740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45740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45740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45740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45740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45740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45740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45740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45740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45740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45740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45740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45740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45740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45740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45740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45740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45740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45740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45740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45740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45740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45740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45740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45740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45740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45740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45740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45740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45740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45740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45740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45740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45740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45740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45740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45740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45740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45740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45740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45740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45740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45740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45740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45740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45740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45740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45740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45740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45740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45740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45740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45740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45740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45740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45740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45740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45740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45740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45740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45740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45740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45740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45740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45740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45740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45740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45740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45740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45740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45740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45740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45740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45740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45740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45740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45740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45740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45740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45740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45740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45740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45740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45740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45740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45740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45740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45740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45740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45740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45740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45740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45740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45740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45740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45740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45740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45740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45740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45740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45740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45740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45740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45740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45740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45740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45740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45740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45740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45740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45740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45740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45740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45740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45740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45740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45740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45740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45740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45740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45740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45740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45740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45740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45740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45740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45740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45740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45740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45740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45740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45740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45740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45740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45740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45740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45740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45740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45740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45740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45740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45740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45740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45740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45740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45740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45740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45740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45740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45740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45740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45740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45740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45740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45740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45740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45740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45740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45740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45740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45740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45740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45740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45740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45740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45740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45740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45740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45740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45740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45740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45740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45740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45740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45740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45740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45740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45740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45740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45740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45740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45740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45740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45740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45740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45740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45740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45740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45740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45740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45740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45740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45740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45740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45740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45740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45740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45740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45740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45740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45740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45740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45740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45740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45740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45740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45740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45740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45740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45740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45740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45740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45740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45740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45740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45740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45740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45740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45740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45740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45740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45740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45740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45740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45740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45740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45740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45740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45740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45740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45740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45740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45740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45740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45740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45740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45740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45740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45740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45740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45740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45740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45740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45740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45740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45740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45740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45740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45740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45740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45740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45740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45740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45740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45740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45740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45740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45740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45740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45740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45740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45740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45740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45740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45740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45740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45740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45740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45740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45740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45740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45740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45740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45740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45740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45740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45740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45740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45740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45740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45740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45740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45740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45740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45740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45740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45740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45740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45740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45740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45740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45740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45740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45740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45740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45740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45740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45740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45740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45740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45740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45740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45740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45740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45740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45740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45740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45740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45740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45740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45740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45740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45740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45740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45740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45740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45740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45740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45740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45740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45740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45740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45740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45740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45740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45740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45740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45740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45740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45740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45740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45740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45740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45740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45740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45740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45740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45740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45740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45740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45740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45740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45740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45740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45740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45740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45740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45740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45740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45740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45740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45740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45740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45740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45740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45740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45740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45740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45740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45740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45740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45740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45740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45740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45740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45740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45740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45740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45740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45740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45740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45740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45740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45740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45740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45740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45740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45740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45740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45740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45740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45740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45740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45740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45740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45740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45740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45740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45740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45740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45740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45740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45740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45740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45740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45740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45740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45740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45740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45740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45740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45740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45740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45740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45740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45740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45740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45740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45740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45740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45740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45740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45740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45740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45740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45740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45740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45740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45740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45740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45740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45740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45740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45740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45740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45740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45740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45740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45740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45740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45740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45740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45740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45740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45740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45740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45740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45740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45740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45740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45740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45740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45740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45740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45740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45740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45740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45740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45740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45740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45740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45740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45740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45740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45740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45740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45740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45740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45740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45740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45740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45740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45740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45740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45740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45740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45740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45740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45740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45740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45740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45740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45740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45740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45740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45740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45740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45740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45740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45740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45740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45740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45740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45740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45740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45740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45740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45740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45740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45740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45740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45740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45740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45740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45740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45740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45740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45740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45740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45740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45740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45740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45740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45740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45740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45740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45740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45740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45740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45740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45740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45740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45740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45740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45740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45740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45740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45740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45740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45740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45740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45740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45740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45740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45740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45740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45740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45740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45740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45740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45740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45740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45740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45740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45740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45740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45740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45740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45740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45740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45740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45740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45740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45740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45740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45740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45740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45740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45740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10056-2025</t>
        </is>
      </c>
      <c r="B812" s="1" t="n">
        <v>45719</v>
      </c>
      <c r="C812" s="1" t="n">
        <v>45740</v>
      </c>
      <c r="D812" t="inlineStr">
        <is>
          <t>VÄSTRA GÖTALANDS LÄN</t>
        </is>
      </c>
      <c r="E812" t="inlineStr">
        <is>
          <t>TANUM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10141-2025</t>
        </is>
      </c>
      <c r="B813" s="1" t="n">
        <v>45719</v>
      </c>
      <c r="C813" s="1" t="n">
        <v>45740</v>
      </c>
      <c r="D813" t="inlineStr">
        <is>
          <t>VÄSTRA GÖTALANDS LÄN</t>
        </is>
      </c>
      <c r="E813" t="inlineStr">
        <is>
          <t>TANUM</t>
        </is>
      </c>
      <c r="G813" t="n">
        <v>14.8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10059-2025</t>
        </is>
      </c>
      <c r="B814" s="1" t="n">
        <v>45719</v>
      </c>
      <c r="C814" s="1" t="n">
        <v>45740</v>
      </c>
      <c r="D814" t="inlineStr">
        <is>
          <t>VÄSTRA GÖTALANDS LÄN</t>
        </is>
      </c>
      <c r="E814" t="inlineStr">
        <is>
          <t>TANUM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10896-2025</t>
        </is>
      </c>
      <c r="B815" s="1" t="n">
        <v>45722</v>
      </c>
      <c r="C815" s="1" t="n">
        <v>45740</v>
      </c>
      <c r="D815" t="inlineStr">
        <is>
          <t>VÄSTRA GÖTALANDS LÄN</t>
        </is>
      </c>
      <c r="E815" t="inlineStr">
        <is>
          <t>TANUM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10889-2025</t>
        </is>
      </c>
      <c r="B816" s="1" t="n">
        <v>45722</v>
      </c>
      <c r="C816" s="1" t="n">
        <v>45740</v>
      </c>
      <c r="D816" t="inlineStr">
        <is>
          <t>VÄSTRA GÖTALANDS LÄN</t>
        </is>
      </c>
      <c r="E816" t="inlineStr">
        <is>
          <t>TANUM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10901-2025</t>
        </is>
      </c>
      <c r="B817" s="1" t="n">
        <v>45722</v>
      </c>
      <c r="C817" s="1" t="n">
        <v>45740</v>
      </c>
      <c r="D817" t="inlineStr">
        <is>
          <t>VÄSTRA GÖTALANDS LÄN</t>
        </is>
      </c>
      <c r="E817" t="inlineStr">
        <is>
          <t>TANUM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45740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11829-2025</t>
        </is>
      </c>
      <c r="B819" s="1" t="n">
        <v>45728</v>
      </c>
      <c r="C819" s="1" t="n">
        <v>45740</v>
      </c>
      <c r="D819" t="inlineStr">
        <is>
          <t>VÄSTRA GÖTALANDS LÄN</t>
        </is>
      </c>
      <c r="E819" t="inlineStr">
        <is>
          <t>TANUM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11936-2025</t>
        </is>
      </c>
      <c r="B820" s="1" t="n">
        <v>45728</v>
      </c>
      <c r="C820" s="1" t="n">
        <v>45740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45740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11955-2025</t>
        </is>
      </c>
      <c r="B822" s="1" t="n">
        <v>45728</v>
      </c>
      <c r="C822" s="1" t="n">
        <v>45740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45740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13810-2025</t>
        </is>
      </c>
      <c r="B824" s="1" t="n">
        <v>45737</v>
      </c>
      <c r="C824" s="1" t="n">
        <v>45740</v>
      </c>
      <c r="D824" t="inlineStr">
        <is>
          <t>VÄSTRA GÖTALANDS LÄN</t>
        </is>
      </c>
      <c r="E824" t="inlineStr">
        <is>
          <t>TANUM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13832-2025</t>
        </is>
      </c>
      <c r="B825" s="1" t="n">
        <v>45737</v>
      </c>
      <c r="C825" s="1" t="n">
        <v>45740</v>
      </c>
      <c r="D825" t="inlineStr">
        <is>
          <t>VÄSTRA GÖTALANDS LÄN</t>
        </is>
      </c>
      <c r="E825" t="inlineStr">
        <is>
          <t>TANUM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13997-2025</t>
        </is>
      </c>
      <c r="B826" s="1" t="n">
        <v>45739</v>
      </c>
      <c r="C826" s="1" t="n">
        <v>45740</v>
      </c>
      <c r="D826" t="inlineStr">
        <is>
          <t>VÄSTRA GÖTALANDS LÄN</t>
        </is>
      </c>
      <c r="E826" t="inlineStr">
        <is>
          <t>TANUM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2025-03-24T18:08:43Z</dcterms:created>
  <dcterms:modified xmlns:dcterms="http://purl.org/dc/terms/" xmlns:xsi="http://www.w3.org/2001/XMLSchema-instance" xsi:type="dcterms:W3CDTF">2025-03-24T18:08:44Z</dcterms:modified>
</cp:coreProperties>
</file>