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46237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46237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46237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46237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46237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46237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46237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46237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46237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46237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46237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40145-2021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44418</v>
      </c>
      <c r="E26" s="1" t="n">
        <v>46237</v>
      </c>
      <c r="F26" t="inlineStr">
        <is>
          <t>VÄSTRA GÖTALANDS LÄN</t>
        </is>
      </c>
      <c r="G26" t="inlineStr">
        <is>
          <t>TANUM</t>
        </is>
      </c>
      <c r="I26" t="n">
        <v>1.9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Åkerrättika
Åkerkulla</t>
        </is>
      </c>
      <c r="W26">
        <f>HYPERLINK("https://klasma.github.io/Logging_1435/artfynd/A 40145-2021 artfynd.xlsx", "A 40145-2021")</f>
        <v/>
      </c>
      <c r="X26">
        <f>HYPERLINK("https://klasma.github.io/Logging_1435/kartor/A 40145-2021 karta.png", "A 40145-2021")</f>
        <v/>
      </c>
      <c r="Y26">
        <f>HYPERLINK("https://klasma.github.io/Logging_1435/kartor_geotiff/A 40145-2021 georefererad karta.tif", "A 40145-2021")</f>
        <v/>
      </c>
      <c r="AA26">
        <f>HYPERLINK("https://klasma.github.io/Logging_1435/klagomål/A 40145-2021 FSC-klagomål.docx", "A 40145-2021")</f>
        <v/>
      </c>
      <c r="AB26">
        <f>HYPERLINK("https://klasma.github.io/Logging_1435/klagomålsmail/A 40145-2021 FSC-klagomål mail.docx", "A 40145-2021")</f>
        <v/>
      </c>
      <c r="AC26">
        <f>HYPERLINK("https://klasma.github.io/Logging_1435/tillsyn/A 40145-2021 tillsynsbegäran.docx", "A 40145-2021")</f>
        <v/>
      </c>
      <c r="AD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46237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46237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46237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46237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46237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46237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46237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46237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46237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46237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23197-2026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46237</v>
      </c>
      <c r="F41" t="inlineStr">
        <is>
          <t>VÄSTRA GÖTALANDS LÄN</t>
        </is>
      </c>
      <c r="G41" t="inlineStr">
        <is>
          <t>TANUM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HYPERLINK("https://klasma.github.io/Logging_1435/artfynd/A 23197-2026 artfynd.xlsx", "A 23197-2026")</f>
        <v/>
      </c>
      <c r="X41">
        <f>HYPERLINK("https://klasma.github.io/Logging_1435/kartor/A 23197-2026 karta.png", "A 23197-2026")</f>
        <v/>
      </c>
      <c r="Y41">
        <f>HYPERLINK("https://klasma.github.io/Logging_1435/kartor_geotiff/A 23197-2026 georefererad karta.tif", "A 23197-2026")</f>
        <v/>
      </c>
      <c r="AA41">
        <f>HYPERLINK("https://klasma.github.io/Logging_1435/klagomål/A 23197-2026 FSC-klagomål.docx", "A 23197-2026")</f>
        <v/>
      </c>
      <c r="AB41">
        <f>HYPERLINK("https://klasma.github.io/Logging_1435/klagomålsmail/A 23197-2026 FSC-klagomål mail.docx", "A 23197-2026")</f>
        <v/>
      </c>
      <c r="AC41">
        <f>HYPERLINK("https://klasma.github.io/Logging_1435/tillsyn/A 23197-2026 tillsynsbegäran.docx", "A 23197-2026")</f>
        <v/>
      </c>
      <c r="AD41">
        <f>HYPERLINK("https://klasma.github.io/Logging_1435/tillsynsmail/A 23197-2026 tillsynsbegäran mail.docx", "A 23197-2026")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46237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46237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13437-2024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46237</v>
      </c>
      <c r="F44" t="inlineStr">
        <is>
          <t>VÄSTRA GÖTALANDS LÄN</t>
        </is>
      </c>
      <c r="G44" t="inlineStr">
        <is>
          <t>TANUM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13437-2024 artfynd.xlsx", "A 13437-2024")</f>
        <v/>
      </c>
      <c r="X44">
        <f>HYPERLINK("https://klasma.github.io/Logging_1435/kartor/A 13437-2024 karta.png", "A 13437-2024")</f>
        <v/>
      </c>
      <c r="Y44">
        <f>HYPERLINK("https://klasma.github.io/Logging_1435/kartor_geotiff/A 13437-2024 georefererad karta.tif", "A 13437-2024")</f>
        <v/>
      </c>
      <c r="AA44">
        <f>HYPERLINK("https://klasma.github.io/Logging_1435/klagomål/A 13437-2024 FSC-klagomål.docx", "A 13437-2024")</f>
        <v/>
      </c>
      <c r="AB44">
        <f>HYPERLINK("https://klasma.github.io/Logging_1435/klagomålsmail/A 13437-2024 FSC-klagomål mail.docx", "A 13437-2024")</f>
        <v/>
      </c>
      <c r="AC44">
        <f>HYPERLINK("https://klasma.github.io/Logging_1435/tillsyn/A 13437-2024 tillsynsbegäran.docx", "A 13437-2024")</f>
        <v/>
      </c>
      <c r="AD44">
        <f>HYPERLINK("https://klasma.github.io/Logging_1435/tillsynsmail/A 13437-2024 tillsynsbegäran mail.docx", "A 13437-2024")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46237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46237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46237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46237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46237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46237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46237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46237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46237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46237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46237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46237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46237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46237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46237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46237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46237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46237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46237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46237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46237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46237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46237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46237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46237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46237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46237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46237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46237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46237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46237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46237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46237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46237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46237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46237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46237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46237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46237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46237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46237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46237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46237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46237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46237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46237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46237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46237</v>
      </c>
      <c r="F92" t="inlineStr">
        <is>
          <t>VÄSTRA GÖTALANDS LÄN</t>
        </is>
      </c>
      <c r="G92" t="inlineStr">
        <is>
          <t>TANUM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46237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46237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46237</v>
      </c>
      <c r="F95" t="inlineStr">
        <is>
          <t>VÄSTRA GÖTALANDS LÄN</t>
        </is>
      </c>
      <c r="G95" t="inlineStr">
        <is>
          <t>TANUM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46237</v>
      </c>
      <c r="F96" t="inlineStr">
        <is>
          <t>VÄSTRA GÖTALANDS LÄN</t>
        </is>
      </c>
      <c r="G96" t="inlineStr">
        <is>
          <t>TANUM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46237</v>
      </c>
      <c r="F97" t="inlineStr">
        <is>
          <t>VÄSTRA GÖTALANDS LÄN</t>
        </is>
      </c>
      <c r="G97" t="inlineStr">
        <is>
          <t>TANUM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46237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46237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46237</v>
      </c>
      <c r="F100" t="inlineStr">
        <is>
          <t>VÄSTRA GÖTALANDS LÄN</t>
        </is>
      </c>
      <c r="G100" t="inlineStr">
        <is>
          <t>TANUM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46237</v>
      </c>
      <c r="F101" t="inlineStr">
        <is>
          <t>VÄSTRA GÖTALANDS LÄN</t>
        </is>
      </c>
      <c r="G101" t="inlineStr">
        <is>
          <t>TANUM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46237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45068-2021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44439</v>
      </c>
      <c r="E103" s="1" t="n">
        <v>46237</v>
      </c>
      <c r="F103" t="inlineStr">
        <is>
          <t>VÄSTRA GÖTALANDS LÄN</t>
        </is>
      </c>
      <c r="G103" t="inlineStr">
        <is>
          <t>TANUM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36949-2024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46237</v>
      </c>
      <c r="F104" t="inlineStr">
        <is>
          <t>VÄSTRA GÖTALANDS LÄN</t>
        </is>
      </c>
      <c r="G104" t="inlineStr">
        <is>
          <t>TANUM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44506</v>
      </c>
      <c r="E105" s="1" t="n">
        <v>46237</v>
      </c>
      <c r="F105" t="inlineStr">
        <is>
          <t>VÄSTRA GÖTALANDS LÄN</t>
        </is>
      </c>
      <c r="G105" t="inlineStr">
        <is>
          <t>TANUM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43884-2021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46237</v>
      </c>
      <c r="F106" t="inlineStr">
        <is>
          <t>VÄSTRA GÖTALANDS LÄN</t>
        </is>
      </c>
      <c r="G106" t="inlineStr">
        <is>
          <t>TANUM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46237</v>
      </c>
      <c r="F107" t="inlineStr">
        <is>
          <t>VÄSTRA GÖTALANDS LÄN</t>
        </is>
      </c>
      <c r="G107" t="inlineStr">
        <is>
          <t>TANUM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46237</v>
      </c>
      <c r="F108" t="inlineStr">
        <is>
          <t>VÄSTRA GÖTALANDS LÄN</t>
        </is>
      </c>
      <c r="G108" t="inlineStr">
        <is>
          <t>TANUM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18398-2024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45425</v>
      </c>
      <c r="E109" s="1" t="n">
        <v>46237</v>
      </c>
      <c r="F109" t="inlineStr">
        <is>
          <t>VÄSTRA GÖTALANDS LÄN</t>
        </is>
      </c>
      <c r="G109" t="inlineStr">
        <is>
          <t>TANUM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46237</v>
      </c>
      <c r="F110" t="inlineStr">
        <is>
          <t>VÄSTRA GÖTALANDS LÄN</t>
        </is>
      </c>
      <c r="G110" t="inlineStr">
        <is>
          <t>TANUM</t>
        </is>
      </c>
      <c r="H110" t="inlineStr">
        <is>
          <t>Kommuner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46237</v>
      </c>
      <c r="F111" t="inlineStr">
        <is>
          <t>VÄSTRA GÖTALANDS LÄN</t>
        </is>
      </c>
      <c r="G111" t="inlineStr">
        <is>
          <t>TANUM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46237</v>
      </c>
      <c r="F112" t="inlineStr">
        <is>
          <t>VÄSTRA GÖTALANDS LÄN</t>
        </is>
      </c>
      <c r="G112" t="inlineStr">
        <is>
          <t>TANUM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46237</v>
      </c>
      <c r="F113" t="inlineStr">
        <is>
          <t>VÄSTRA GÖTALANDS LÄN</t>
        </is>
      </c>
      <c r="G113" t="inlineStr">
        <is>
          <t>TANUM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46237</v>
      </c>
      <c r="F114" t="inlineStr">
        <is>
          <t>VÄSTRA GÖTALANDS LÄN</t>
        </is>
      </c>
      <c r="G114" t="inlineStr">
        <is>
          <t>TANUM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46237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46237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44725</v>
      </c>
      <c r="E117" s="1" t="n">
        <v>46237</v>
      </c>
      <c r="F117" t="inlineStr">
        <is>
          <t>VÄSTRA GÖTALANDS LÄN</t>
        </is>
      </c>
      <c r="G117" t="inlineStr">
        <is>
          <t>TANUM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46237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46237</v>
      </c>
      <c r="F119" t="inlineStr">
        <is>
          <t>VÄSTRA GÖTALANDS LÄN</t>
        </is>
      </c>
      <c r="G119" t="inlineStr">
        <is>
          <t>TANUM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46237</v>
      </c>
      <c r="F120" t="inlineStr">
        <is>
          <t>VÄSTRA GÖTALANDS LÄN</t>
        </is>
      </c>
      <c r="G120" t="inlineStr">
        <is>
          <t>TANUM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46237</v>
      </c>
      <c r="F121" t="inlineStr">
        <is>
          <t>VÄSTRA GÖTALANDS LÄN</t>
        </is>
      </c>
      <c r="G121" t="inlineStr">
        <is>
          <t>TANUM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46237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46237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45374</v>
      </c>
      <c r="E124" s="1" t="n">
        <v>46237</v>
      </c>
      <c r="F124" t="inlineStr">
        <is>
          <t>VÄSTRA GÖTALANDS LÄN</t>
        </is>
      </c>
      <c r="G124" t="inlineStr">
        <is>
          <t>TANUM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46237</v>
      </c>
      <c r="F125" t="inlineStr">
        <is>
          <t>VÄSTRA GÖTALANDS LÄN</t>
        </is>
      </c>
      <c r="G125" t="inlineStr">
        <is>
          <t>TANUM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46237</v>
      </c>
      <c r="F126" t="inlineStr">
        <is>
          <t>VÄSTRA GÖTALANDS LÄN</t>
        </is>
      </c>
      <c r="G126" t="inlineStr">
        <is>
          <t>TANUM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46237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46237</v>
      </c>
      <c r="F128" t="inlineStr">
        <is>
          <t>VÄSTRA GÖTALANDS LÄN</t>
        </is>
      </c>
      <c r="G128" t="inlineStr">
        <is>
          <t>TANUM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46237</v>
      </c>
      <c r="F129" t="inlineStr">
        <is>
          <t>VÄSTRA GÖTALANDS LÄN</t>
        </is>
      </c>
      <c r="G129" t="inlineStr">
        <is>
          <t>TANUM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45239</v>
      </c>
      <c r="E130" s="1" t="n">
        <v>46237</v>
      </c>
      <c r="F130" t="inlineStr">
        <is>
          <t>VÄSTRA GÖTALANDS LÄN</t>
        </is>
      </c>
      <c r="G130" t="inlineStr">
        <is>
          <t>TANUM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46237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46237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46237</v>
      </c>
      <c r="F133" t="inlineStr">
        <is>
          <t>VÄSTRA GÖTALANDS LÄN</t>
        </is>
      </c>
      <c r="G133" t="inlineStr">
        <is>
          <t>TANUM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46237</v>
      </c>
      <c r="F134" t="inlineStr">
        <is>
          <t>VÄSTRA GÖTALANDS LÄN</t>
        </is>
      </c>
      <c r="G134" t="inlineStr">
        <is>
          <t>TANUM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46237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46237</v>
      </c>
      <c r="F136" t="inlineStr">
        <is>
          <t>VÄSTRA GÖTALANDS LÄN</t>
        </is>
      </c>
      <c r="G136" t="inlineStr">
        <is>
          <t>TANUM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46237</v>
      </c>
      <c r="F137" t="inlineStr">
        <is>
          <t>VÄSTRA GÖTALANDS LÄN</t>
        </is>
      </c>
      <c r="G137" t="inlineStr">
        <is>
          <t>TANUM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46237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46237</v>
      </c>
      <c r="F139" t="inlineStr">
        <is>
          <t>VÄSTRA GÖTALANDS LÄN</t>
        </is>
      </c>
      <c r="G139" t="inlineStr">
        <is>
          <t>TANUM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70979-2021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44538</v>
      </c>
      <c r="E140" s="1" t="n">
        <v>46237</v>
      </c>
      <c r="F140" t="inlineStr">
        <is>
          <t>VÄSTRA GÖTALANDS LÄN</t>
        </is>
      </c>
      <c r="G140" t="inlineStr">
        <is>
          <t>TANUM</t>
        </is>
      </c>
      <c r="I140" t="n">
        <v>19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46237</v>
      </c>
      <c r="F141" t="inlineStr">
        <is>
          <t>VÄSTRA GÖTALANDS LÄN</t>
        </is>
      </c>
      <c r="G141" t="inlineStr">
        <is>
          <t>TANUM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46237</v>
      </c>
      <c r="F142" t="inlineStr">
        <is>
          <t>VÄSTRA GÖTALANDS LÄN</t>
        </is>
      </c>
      <c r="G142" t="inlineStr">
        <is>
          <t>TANUM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45286</v>
      </c>
      <c r="E143" s="1" t="n">
        <v>46237</v>
      </c>
      <c r="F143" t="inlineStr">
        <is>
          <t>VÄSTRA GÖTALANDS LÄN</t>
        </is>
      </c>
      <c r="G143" t="inlineStr">
        <is>
          <t>TANUM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46237</v>
      </c>
      <c r="F144" t="inlineStr">
        <is>
          <t>VÄSTRA GÖTALANDS LÄN</t>
        </is>
      </c>
      <c r="G144" t="inlineStr">
        <is>
          <t>TANUM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46237</v>
      </c>
      <c r="F145" t="inlineStr">
        <is>
          <t>VÄSTRA GÖTALANDS LÄN</t>
        </is>
      </c>
      <c r="G145" t="inlineStr">
        <is>
          <t>TANUM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46237</v>
      </c>
      <c r="F146" t="inlineStr">
        <is>
          <t>VÄSTRA GÖTALANDS LÄN</t>
        </is>
      </c>
      <c r="G146" t="inlineStr">
        <is>
          <t>TANUM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46237</v>
      </c>
      <c r="F147" t="inlineStr">
        <is>
          <t>VÄSTRA GÖTALANDS LÄN</t>
        </is>
      </c>
      <c r="G147" t="inlineStr">
        <is>
          <t>TANUM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46237</v>
      </c>
      <c r="F148" t="inlineStr">
        <is>
          <t>VÄSTRA GÖTALANDS LÄN</t>
        </is>
      </c>
      <c r="G148" t="inlineStr">
        <is>
          <t>TANUM</t>
        </is>
      </c>
      <c r="I148" t="n">
        <v>11.9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46237</v>
      </c>
      <c r="F149" t="inlineStr">
        <is>
          <t>VÄSTRA GÖTALANDS LÄN</t>
        </is>
      </c>
      <c r="G149" t="inlineStr">
        <is>
          <t>TANUM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46237</v>
      </c>
      <c r="F150" t="inlineStr">
        <is>
          <t>VÄSTRA GÖTALANDS LÄN</t>
        </is>
      </c>
      <c r="G150" t="inlineStr">
        <is>
          <t>TANUM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44939</v>
      </c>
      <c r="E151" s="1" t="n">
        <v>46237</v>
      </c>
      <c r="F151" t="inlineStr">
        <is>
          <t>VÄSTRA GÖTALANDS LÄN</t>
        </is>
      </c>
      <c r="G151" t="inlineStr">
        <is>
          <t>TANUM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46237</v>
      </c>
      <c r="F152" t="inlineStr">
        <is>
          <t>VÄSTRA GÖTALANDS LÄN</t>
        </is>
      </c>
      <c r="G152" t="inlineStr">
        <is>
          <t>TANUM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46237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46237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46237</v>
      </c>
      <c r="F155" t="inlineStr">
        <is>
          <t>VÄSTRA GÖTALANDS LÄN</t>
        </is>
      </c>
      <c r="G155" t="inlineStr">
        <is>
          <t>TANUM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46237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46237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45023</v>
      </c>
      <c r="E158" s="1" t="n">
        <v>46237</v>
      </c>
      <c r="F158" t="inlineStr">
        <is>
          <t>VÄSTRA GÖTALANDS LÄN</t>
        </is>
      </c>
      <c r="G158" t="inlineStr">
        <is>
          <t>TANUM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46237</v>
      </c>
      <c r="F159" t="inlineStr">
        <is>
          <t>VÄSTRA GÖTALANDS LÄN</t>
        </is>
      </c>
      <c r="G159" t="inlineStr">
        <is>
          <t>TANUM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45571</v>
      </c>
      <c r="E160" s="1" t="n">
        <v>46237</v>
      </c>
      <c r="F160" t="inlineStr">
        <is>
          <t>VÄSTRA GÖTALANDS LÄN</t>
        </is>
      </c>
      <c r="G160" t="inlineStr">
        <is>
          <t>TANUM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46237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46237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46237</v>
      </c>
      <c r="F163" t="inlineStr">
        <is>
          <t>VÄSTRA GÖTALANDS LÄN</t>
        </is>
      </c>
      <c r="G163" t="inlineStr">
        <is>
          <t>TANUM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46237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46237</v>
      </c>
      <c r="F165" t="inlineStr">
        <is>
          <t>VÄSTRA GÖTALANDS LÄN</t>
        </is>
      </c>
      <c r="G165" t="inlineStr">
        <is>
          <t>TANUM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46237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45872</v>
      </c>
      <c r="E167" s="1" t="n">
        <v>46237</v>
      </c>
      <c r="F167" t="inlineStr">
        <is>
          <t>VÄSTRA GÖTALANDS LÄN</t>
        </is>
      </c>
      <c r="G167" t="inlineStr">
        <is>
          <t>TANUM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46237</v>
      </c>
      <c r="F168" t="inlineStr">
        <is>
          <t>VÄSTRA GÖTALANDS LÄN</t>
        </is>
      </c>
      <c r="G168" t="inlineStr">
        <is>
          <t>TANUM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46237</v>
      </c>
      <c r="F169" t="inlineStr">
        <is>
          <t>VÄSTRA GÖTALANDS LÄN</t>
        </is>
      </c>
      <c r="G169" t="inlineStr">
        <is>
          <t>TANUM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46237</v>
      </c>
      <c r="F170" t="inlineStr">
        <is>
          <t>VÄSTRA GÖTALANDS LÄN</t>
        </is>
      </c>
      <c r="G170" t="inlineStr">
        <is>
          <t>TANUM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46237</v>
      </c>
      <c r="F171" t="inlineStr">
        <is>
          <t>VÄSTRA GÖTALANDS LÄN</t>
        </is>
      </c>
      <c r="G171" t="inlineStr">
        <is>
          <t>TANUM</t>
        </is>
      </c>
      <c r="I171" t="n">
        <v>13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46237</v>
      </c>
      <c r="F172" t="inlineStr">
        <is>
          <t>VÄSTRA GÖTALANDS LÄN</t>
        </is>
      </c>
      <c r="G172" t="inlineStr">
        <is>
          <t>TANUM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45575</v>
      </c>
      <c r="E173" s="1" t="n">
        <v>46237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Naturvårdsverket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46237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44506</v>
      </c>
      <c r="E175" s="1" t="n">
        <v>46237</v>
      </c>
      <c r="F175" t="inlineStr">
        <is>
          <t>VÄSTRA GÖTALANDS LÄN</t>
        </is>
      </c>
      <c r="G175" t="inlineStr">
        <is>
          <t>TANUM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46237</v>
      </c>
      <c r="F176" t="inlineStr">
        <is>
          <t>VÄSTRA GÖTALANDS LÄN</t>
        </is>
      </c>
      <c r="G176" t="inlineStr">
        <is>
          <t>TANUM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44719</v>
      </c>
      <c r="E177" s="1" t="n">
        <v>46237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46237</v>
      </c>
      <c r="F178" t="inlineStr">
        <is>
          <t>VÄSTRA GÖTALANDS LÄN</t>
        </is>
      </c>
      <c r="G178" t="inlineStr">
        <is>
          <t>TANUM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20238-2026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46237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46237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46237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46237</v>
      </c>
      <c r="F182" t="inlineStr">
        <is>
          <t>VÄSTRA GÖTALANDS LÄN</t>
        </is>
      </c>
      <c r="G182" t="inlineStr">
        <is>
          <t>TANUM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46237</v>
      </c>
      <c r="F183" t="inlineStr">
        <is>
          <t>VÄSTRA GÖTALANDS LÄN</t>
        </is>
      </c>
      <c r="G183" t="inlineStr">
        <is>
          <t>TANUM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46237</v>
      </c>
      <c r="F184" t="inlineStr">
        <is>
          <t>VÄSTRA GÖTALANDS LÄN</t>
        </is>
      </c>
      <c r="G184" t="inlineStr">
        <is>
          <t>TANUM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46237</v>
      </c>
      <c r="F185" t="inlineStr">
        <is>
          <t>VÄSTRA GÖTALANDS LÄN</t>
        </is>
      </c>
      <c r="G185" t="inlineStr">
        <is>
          <t>TANUM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46237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46237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46237</v>
      </c>
      <c r="F188" t="inlineStr">
        <is>
          <t>VÄSTRA GÖTALANDS LÄN</t>
        </is>
      </c>
      <c r="G188" t="inlineStr">
        <is>
          <t>TANUM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46237</v>
      </c>
      <c r="F189" t="inlineStr">
        <is>
          <t>VÄSTRA GÖTALANDS LÄN</t>
        </is>
      </c>
      <c r="G189" t="inlineStr">
        <is>
          <t>TANUM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46237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46237</v>
      </c>
      <c r="F191" t="inlineStr">
        <is>
          <t>VÄSTRA GÖTALANDS LÄN</t>
        </is>
      </c>
      <c r="G191" t="inlineStr">
        <is>
          <t>TANUM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46237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46237</v>
      </c>
      <c r="F193" t="inlineStr">
        <is>
          <t>VÄSTRA GÖTALANDS LÄN</t>
        </is>
      </c>
      <c r="G193" t="inlineStr">
        <is>
          <t>TANUM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46237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46237</v>
      </c>
      <c r="F195" t="inlineStr">
        <is>
          <t>VÄSTRA GÖTALANDS LÄN</t>
        </is>
      </c>
      <c r="G195" t="inlineStr">
        <is>
          <t>TANUM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46237</v>
      </c>
      <c r="F196" t="inlineStr">
        <is>
          <t>VÄSTRA GÖTALANDS LÄN</t>
        </is>
      </c>
      <c r="G196" t="inlineStr">
        <is>
          <t>TANUM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46237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46237</v>
      </c>
      <c r="F198" t="inlineStr">
        <is>
          <t>VÄSTRA GÖTALANDS LÄN</t>
        </is>
      </c>
      <c r="G198" t="inlineStr">
        <is>
          <t>TANUM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46237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46237</v>
      </c>
      <c r="F200" t="inlineStr">
        <is>
          <t>VÄSTRA GÖTALANDS LÄN</t>
        </is>
      </c>
      <c r="G200" t="inlineStr">
        <is>
          <t>TANUM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46237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46237</v>
      </c>
      <c r="F202" t="inlineStr">
        <is>
          <t>VÄSTRA GÖTALANDS LÄN</t>
        </is>
      </c>
      <c r="G202" t="inlineStr">
        <is>
          <t>TANUM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46237</v>
      </c>
      <c r="F203" t="inlineStr">
        <is>
          <t>VÄSTRA GÖTALANDS LÄN</t>
        </is>
      </c>
      <c r="G203" t="inlineStr">
        <is>
          <t>TANUM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46237</v>
      </c>
      <c r="F204" t="inlineStr">
        <is>
          <t>VÄSTRA GÖTALANDS LÄN</t>
        </is>
      </c>
      <c r="G204" t="inlineStr">
        <is>
          <t>TANUM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46237</v>
      </c>
      <c r="F205" t="inlineStr">
        <is>
          <t>VÄSTRA GÖTALANDS LÄN</t>
        </is>
      </c>
      <c r="G205" t="inlineStr">
        <is>
          <t>TANUM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45935</v>
      </c>
      <c r="E206" s="1" t="n">
        <v>46237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46237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46237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46237</v>
      </c>
      <c r="F209" t="inlineStr">
        <is>
          <t>VÄSTRA GÖTALANDS LÄN</t>
        </is>
      </c>
      <c r="G209" t="inlineStr">
        <is>
          <t>TANUM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44969</v>
      </c>
      <c r="E210" s="1" t="n">
        <v>46237</v>
      </c>
      <c r="F210" t="inlineStr">
        <is>
          <t>VÄSTRA GÖTALANDS LÄN</t>
        </is>
      </c>
      <c r="G210" t="inlineStr">
        <is>
          <t>TANUM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46237</v>
      </c>
      <c r="F211" t="inlineStr">
        <is>
          <t>VÄSTRA GÖTALANDS LÄN</t>
        </is>
      </c>
      <c r="G211" t="inlineStr">
        <is>
          <t>TANUM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44944</v>
      </c>
      <c r="E212" s="1" t="n">
        <v>46237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44954</v>
      </c>
      <c r="E213" s="1" t="n">
        <v>46237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46237</v>
      </c>
      <c r="F214" t="inlineStr">
        <is>
          <t>VÄSTRA GÖTALANDS LÄN</t>
        </is>
      </c>
      <c r="G214" t="inlineStr">
        <is>
          <t>TANUM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46237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46237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45102</v>
      </c>
      <c r="E217" s="1" t="n">
        <v>46237</v>
      </c>
      <c r="F217" t="inlineStr">
        <is>
          <t>VÄSTRA GÖTALANDS LÄN</t>
        </is>
      </c>
      <c r="G217" t="inlineStr">
        <is>
          <t>TANUM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45942</v>
      </c>
      <c r="E218" s="1" t="n">
        <v>46237</v>
      </c>
      <c r="F218" t="inlineStr">
        <is>
          <t>VÄSTRA GÖTALANDS LÄN</t>
        </is>
      </c>
      <c r="G218" t="inlineStr">
        <is>
          <t>TANUM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44929</v>
      </c>
      <c r="E219" s="1" t="n">
        <v>46237</v>
      </c>
      <c r="F219" t="inlineStr">
        <is>
          <t>VÄSTRA GÖTALANDS LÄN</t>
        </is>
      </c>
      <c r="G219" t="inlineStr">
        <is>
          <t>TANUM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44997</v>
      </c>
      <c r="E220" s="1" t="n">
        <v>46237</v>
      </c>
      <c r="F220" t="inlineStr">
        <is>
          <t>VÄSTRA GÖTALANDS LÄN</t>
        </is>
      </c>
      <c r="G220" t="inlineStr">
        <is>
          <t>TANUM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46237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46237</v>
      </c>
      <c r="F222" t="inlineStr">
        <is>
          <t>VÄSTRA GÖTALANDS LÄN</t>
        </is>
      </c>
      <c r="G222" t="inlineStr">
        <is>
          <t>TANUM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46237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45949</v>
      </c>
      <c r="E224" s="1" t="n">
        <v>46237</v>
      </c>
      <c r="F224" t="inlineStr">
        <is>
          <t>VÄSTRA GÖTALANDS LÄN</t>
        </is>
      </c>
      <c r="G224" t="inlineStr">
        <is>
          <t>TANUM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45659</v>
      </c>
      <c r="E225" s="1" t="n">
        <v>46237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46237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46237</v>
      </c>
      <c r="F227" t="inlineStr">
        <is>
          <t>VÄSTRA GÖTALANDS LÄN</t>
        </is>
      </c>
      <c r="G227" t="inlineStr">
        <is>
          <t>TANUM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46237</v>
      </c>
      <c r="F228" t="inlineStr">
        <is>
          <t>VÄSTRA GÖTALANDS LÄN</t>
        </is>
      </c>
      <c r="G228" t="inlineStr">
        <is>
          <t>TANUM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46237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49746-2021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44455</v>
      </c>
      <c r="E230" s="1" t="n">
        <v>46237</v>
      </c>
      <c r="F230" t="inlineStr">
        <is>
          <t>VÄSTRA GÖTALANDS LÄN</t>
        </is>
      </c>
      <c r="G230" t="inlineStr">
        <is>
          <t>TANUM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46237</v>
      </c>
      <c r="F231" t="inlineStr">
        <is>
          <t>VÄSTRA GÖTALANDS LÄN</t>
        </is>
      </c>
      <c r="G231" t="inlineStr">
        <is>
          <t>TANUM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46237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46237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46237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46237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46237</v>
      </c>
      <c r="F236" t="inlineStr">
        <is>
          <t>VÄSTRA GÖTALANDS LÄN</t>
        </is>
      </c>
      <c r="G236" t="inlineStr">
        <is>
          <t>TANUM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45673</v>
      </c>
      <c r="E237" s="1" t="n">
        <v>46237</v>
      </c>
      <c r="F237" t="inlineStr">
        <is>
          <t>VÄSTRA GÖTALANDS LÄN</t>
        </is>
      </c>
      <c r="G237" t="inlineStr">
        <is>
          <t>TANUM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46237</v>
      </c>
      <c r="F238" t="inlineStr">
        <is>
          <t>VÄSTRA GÖTALANDS LÄN</t>
        </is>
      </c>
      <c r="G238" t="inlineStr">
        <is>
          <t>TANUM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46237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46237</v>
      </c>
      <c r="F240" t="inlineStr">
        <is>
          <t>VÄSTRA GÖTALANDS LÄN</t>
        </is>
      </c>
      <c r="G240" t="inlineStr">
        <is>
          <t>TANUM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46237</v>
      </c>
      <c r="F241" t="inlineStr">
        <is>
          <t>VÄSTRA GÖTALANDS LÄN</t>
        </is>
      </c>
      <c r="G241" t="inlineStr">
        <is>
          <t>TANUM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53759-2021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46237</v>
      </c>
      <c r="F242" t="inlineStr">
        <is>
          <t>VÄSTRA GÖTALANDS LÄN</t>
        </is>
      </c>
      <c r="G242" t="inlineStr">
        <is>
          <t>TANUM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45026</v>
      </c>
      <c r="E243" s="1" t="n">
        <v>46237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46237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45311</v>
      </c>
      <c r="E245" s="1" t="n">
        <v>46237</v>
      </c>
      <c r="F245" t="inlineStr">
        <is>
          <t>VÄSTRA GÖTALANDS LÄN</t>
        </is>
      </c>
      <c r="G245" t="inlineStr">
        <is>
          <t>TANUM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45599</v>
      </c>
      <c r="E246" s="1" t="n">
        <v>46237</v>
      </c>
      <c r="F246" t="inlineStr">
        <is>
          <t>VÄSTRA GÖTALANDS LÄN</t>
        </is>
      </c>
      <c r="G246" t="inlineStr">
        <is>
          <t>TANUM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46237</v>
      </c>
      <c r="F247" t="inlineStr">
        <is>
          <t>VÄSTRA GÖTALANDS LÄN</t>
        </is>
      </c>
      <c r="G247" t="inlineStr">
        <is>
          <t>TANUM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44832</v>
      </c>
      <c r="E248" s="1" t="n">
        <v>46237</v>
      </c>
      <c r="F248" t="inlineStr">
        <is>
          <t>VÄSTRA GÖTALANDS LÄN</t>
        </is>
      </c>
      <c r="G248" t="inlineStr">
        <is>
          <t>TANUM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46237</v>
      </c>
      <c r="F249" t="inlineStr">
        <is>
          <t>VÄSTRA GÖTALANDS LÄN</t>
        </is>
      </c>
      <c r="G249" t="inlineStr">
        <is>
          <t>TANUM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46237</v>
      </c>
      <c r="F250" t="inlineStr">
        <is>
          <t>VÄSTRA GÖTALANDS LÄN</t>
        </is>
      </c>
      <c r="G250" t="inlineStr">
        <is>
          <t>TANUM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46237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46237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46237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44807</v>
      </c>
      <c r="E254" s="1" t="n">
        <v>46237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46237</v>
      </c>
      <c r="F255" t="inlineStr">
        <is>
          <t>VÄSTRA GÖTALANDS LÄN</t>
        </is>
      </c>
      <c r="G255" t="inlineStr">
        <is>
          <t>TANUM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46237</v>
      </c>
      <c r="F256" t="inlineStr">
        <is>
          <t>VÄSTRA GÖTALANDS LÄN</t>
        </is>
      </c>
      <c r="G256" t="inlineStr">
        <is>
          <t>TANUM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46204</v>
      </c>
      <c r="E257" s="1" t="n">
        <v>46237</v>
      </c>
      <c r="F257" t="inlineStr">
        <is>
          <t>VÄSTRA GÖTALANDS LÄN</t>
        </is>
      </c>
      <c r="G257" t="inlineStr">
        <is>
          <t>TANUM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45739</v>
      </c>
      <c r="E258" s="1" t="n">
        <v>46237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46237</v>
      </c>
      <c r="F259" t="inlineStr">
        <is>
          <t>VÄSTRA GÖTALANDS LÄN</t>
        </is>
      </c>
      <c r="G259" t="inlineStr">
        <is>
          <t>TANUM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46237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46237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58809-2025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45987</v>
      </c>
      <c r="E262" s="1" t="n">
        <v>46237</v>
      </c>
      <c r="F262" t="inlineStr">
        <is>
          <t>VÄSTRA GÖTALANDS LÄN</t>
        </is>
      </c>
      <c r="G262" t="inlineStr">
        <is>
          <t>TANUM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46237</v>
      </c>
      <c r="F263" t="inlineStr">
        <is>
          <t>VÄSTRA GÖTALANDS LÄN</t>
        </is>
      </c>
      <c r="G263" t="inlineStr">
        <is>
          <t>TANUM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46237</v>
      </c>
      <c r="F264" t="inlineStr">
        <is>
          <t>VÄSTRA GÖTALANDS LÄN</t>
        </is>
      </c>
      <c r="G264" t="inlineStr">
        <is>
          <t>TANUM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46237</v>
      </c>
      <c r="F265" t="inlineStr">
        <is>
          <t>VÄSTRA GÖTALANDS LÄN</t>
        </is>
      </c>
      <c r="G265" t="inlineStr">
        <is>
          <t>TANUM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46237</v>
      </c>
      <c r="F266" t="inlineStr">
        <is>
          <t>VÄSTRA GÖTALANDS LÄN</t>
        </is>
      </c>
      <c r="G266" t="inlineStr">
        <is>
          <t>TANUM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46237</v>
      </c>
      <c r="F267" t="inlineStr">
        <is>
          <t>VÄSTRA GÖTALANDS LÄN</t>
        </is>
      </c>
      <c r="G267" t="inlineStr">
        <is>
          <t>TANUM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53033-2021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46237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46237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46237</v>
      </c>
      <c r="F270" t="inlineStr">
        <is>
          <t>VÄSTRA GÖTALANDS LÄN</t>
        </is>
      </c>
      <c r="G270" t="inlineStr">
        <is>
          <t>TANUM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44846</v>
      </c>
      <c r="E271" s="1" t="n">
        <v>46237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46237</v>
      </c>
      <c r="F272" t="inlineStr">
        <is>
          <t>VÄSTRA GÖTALANDS LÄN</t>
        </is>
      </c>
      <c r="G272" t="inlineStr">
        <is>
          <t>TANUM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45516</v>
      </c>
      <c r="E273" s="1" t="n">
        <v>46237</v>
      </c>
      <c r="F273" t="inlineStr">
        <is>
          <t>VÄSTRA GÖTALANDS LÄN</t>
        </is>
      </c>
      <c r="G273" t="inlineStr">
        <is>
          <t>TANUM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46237</v>
      </c>
      <c r="F274" t="inlineStr">
        <is>
          <t>VÄSTRA GÖTALANDS LÄN</t>
        </is>
      </c>
      <c r="G274" t="inlineStr">
        <is>
          <t>TANUM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46237</v>
      </c>
      <c r="F275" t="inlineStr">
        <is>
          <t>VÄSTRA GÖTALANDS LÄN</t>
        </is>
      </c>
      <c r="G275" t="inlineStr">
        <is>
          <t>TANUM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46237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46237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46237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46237</v>
      </c>
      <c r="F279" t="inlineStr">
        <is>
          <t>VÄSTRA GÖTALANDS LÄN</t>
        </is>
      </c>
      <c r="G279" t="inlineStr">
        <is>
          <t>TANUM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46209</v>
      </c>
      <c r="E280" s="1" t="n">
        <v>46237</v>
      </c>
      <c r="F280" t="inlineStr">
        <is>
          <t>VÄSTRA GÖTALANDS LÄN</t>
        </is>
      </c>
      <c r="G280" t="inlineStr">
        <is>
          <t>TANUM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45415</v>
      </c>
      <c r="E281" s="1" t="n">
        <v>46237</v>
      </c>
      <c r="F281" t="inlineStr">
        <is>
          <t>VÄSTRA GÖTALANDS LÄN</t>
        </is>
      </c>
      <c r="G281" t="inlineStr">
        <is>
          <t>TANUM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46237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46237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46237</v>
      </c>
      <c r="F284" t="inlineStr">
        <is>
          <t>VÄSTRA GÖTALANDS LÄN</t>
        </is>
      </c>
      <c r="G284" t="inlineStr">
        <is>
          <t>TANUM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30322-2026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46207</v>
      </c>
      <c r="E285" s="1" t="n">
        <v>46237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46237</v>
      </c>
      <c r="F286" t="inlineStr">
        <is>
          <t>VÄSTRA GÖTALANDS LÄN</t>
        </is>
      </c>
      <c r="G286" t="inlineStr">
        <is>
          <t>TANUM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46237</v>
      </c>
      <c r="F287" t="inlineStr">
        <is>
          <t>VÄSTRA GÖTALANDS LÄN</t>
        </is>
      </c>
      <c r="G287" t="inlineStr">
        <is>
          <t>TANUM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46237</v>
      </c>
      <c r="F288" t="inlineStr">
        <is>
          <t>VÄSTRA GÖTALANDS LÄN</t>
        </is>
      </c>
      <c r="G288" t="inlineStr">
        <is>
          <t>TANUM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46237</v>
      </c>
      <c r="F289" t="inlineStr">
        <is>
          <t>VÄSTRA GÖTALANDS LÄN</t>
        </is>
      </c>
      <c r="G289" t="inlineStr">
        <is>
          <t>TANUM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46237</v>
      </c>
      <c r="F290" t="inlineStr">
        <is>
          <t>VÄSTRA GÖTALANDS LÄN</t>
        </is>
      </c>
      <c r="G290" t="inlineStr">
        <is>
          <t>TANUM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46237</v>
      </c>
      <c r="F291" t="inlineStr">
        <is>
          <t>VÄSTRA GÖTALANDS LÄN</t>
        </is>
      </c>
      <c r="G291" t="inlineStr">
        <is>
          <t>TANUM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46237</v>
      </c>
      <c r="F292" t="inlineStr">
        <is>
          <t>VÄSTRA GÖTALANDS LÄN</t>
        </is>
      </c>
      <c r="G292" t="inlineStr">
        <is>
          <t>TANUM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46237</v>
      </c>
      <c r="F293" t="inlineStr">
        <is>
          <t>VÄSTRA GÖTALANDS LÄN</t>
        </is>
      </c>
      <c r="G293" t="inlineStr">
        <is>
          <t>TANUM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46237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46237</v>
      </c>
      <c r="F295" t="inlineStr">
        <is>
          <t>VÄSTRA GÖTALANDS LÄN</t>
        </is>
      </c>
      <c r="G295" t="inlineStr">
        <is>
          <t>TANUM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46237</v>
      </c>
      <c r="F296" t="inlineStr">
        <is>
          <t>VÄSTRA GÖTALANDS LÄN</t>
        </is>
      </c>
      <c r="G296" t="inlineStr">
        <is>
          <t>TANUM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46237</v>
      </c>
      <c r="F297" t="inlineStr">
        <is>
          <t>VÄSTRA GÖTALANDS LÄN</t>
        </is>
      </c>
      <c r="G297" t="inlineStr">
        <is>
          <t>TANUM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45659</v>
      </c>
      <c r="E298" s="1" t="n">
        <v>46237</v>
      </c>
      <c r="F298" t="inlineStr">
        <is>
          <t>VÄSTRA GÖTALANDS LÄN</t>
        </is>
      </c>
      <c r="G298" t="inlineStr">
        <is>
          <t>TANUM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46237</v>
      </c>
      <c r="F299" t="inlineStr">
        <is>
          <t>VÄSTRA GÖTALANDS LÄN</t>
        </is>
      </c>
      <c r="G299" t="inlineStr">
        <is>
          <t>TANUM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46237</v>
      </c>
      <c r="F300" t="inlineStr">
        <is>
          <t>VÄSTRA GÖTALANDS LÄN</t>
        </is>
      </c>
      <c r="G300" t="inlineStr">
        <is>
          <t>TANUM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46237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46237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46237</v>
      </c>
      <c r="F303" t="inlineStr">
        <is>
          <t>VÄSTRA GÖTALANDS LÄN</t>
        </is>
      </c>
      <c r="G303" t="inlineStr">
        <is>
          <t>TANUM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46237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46237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46237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46237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46237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46237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46237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46237</v>
      </c>
      <c r="F311" t="inlineStr">
        <is>
          <t>VÄSTRA GÖTALANDS LÄN</t>
        </is>
      </c>
      <c r="G311" t="inlineStr">
        <is>
          <t>TANUM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46237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46237</v>
      </c>
      <c r="F313" t="inlineStr">
        <is>
          <t>VÄSTRA GÖTALANDS LÄN</t>
        </is>
      </c>
      <c r="G313" t="inlineStr">
        <is>
          <t>TANUM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46237</v>
      </c>
      <c r="F314" t="inlineStr">
        <is>
          <t>VÄSTRA GÖTALANDS LÄN</t>
        </is>
      </c>
      <c r="G314" t="inlineStr">
        <is>
          <t>TANUM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46237</v>
      </c>
      <c r="F315" t="inlineStr">
        <is>
          <t>VÄSTRA GÖTALANDS LÄN</t>
        </is>
      </c>
      <c r="G315" t="inlineStr">
        <is>
          <t>TANUM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46237</v>
      </c>
      <c r="F316" t="inlineStr">
        <is>
          <t>VÄSTRA GÖTALANDS LÄN</t>
        </is>
      </c>
      <c r="G316" t="inlineStr">
        <is>
          <t>TANUM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45635</v>
      </c>
      <c r="E317" s="1" t="n">
        <v>46237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46237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46237</v>
      </c>
      <c r="F319" t="inlineStr">
        <is>
          <t>VÄSTRA GÖTALANDS LÄN</t>
        </is>
      </c>
      <c r="G319" t="inlineStr">
        <is>
          <t>TANUM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46237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46039</v>
      </c>
      <c r="E321" s="1" t="n">
        <v>46237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46237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46237</v>
      </c>
      <c r="F323" t="inlineStr">
        <is>
          <t>VÄSTRA GÖTALANDS LÄN</t>
        </is>
      </c>
      <c r="G323" t="inlineStr">
        <is>
          <t>TANUM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46237</v>
      </c>
      <c r="F324" t="inlineStr">
        <is>
          <t>VÄSTRA GÖTALANDS LÄN</t>
        </is>
      </c>
      <c r="G324" t="inlineStr">
        <is>
          <t>TANUM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46237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46237</v>
      </c>
      <c r="F326" t="inlineStr">
        <is>
          <t>VÄSTRA GÖTALANDS LÄN</t>
        </is>
      </c>
      <c r="G326" t="inlineStr">
        <is>
          <t>TANUM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46237</v>
      </c>
      <c r="F327" t="inlineStr">
        <is>
          <t>VÄSTRA GÖTALANDS LÄN</t>
        </is>
      </c>
      <c r="G327" t="inlineStr">
        <is>
          <t>TANUM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46237</v>
      </c>
      <c r="F328" t="inlineStr">
        <is>
          <t>VÄSTRA GÖTALANDS LÄN</t>
        </is>
      </c>
      <c r="G328" t="inlineStr">
        <is>
          <t>TANUM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46237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46237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46237</v>
      </c>
      <c r="F331" t="inlineStr">
        <is>
          <t>VÄSTRA GÖTALANDS LÄN</t>
        </is>
      </c>
      <c r="G331" t="inlineStr">
        <is>
          <t>TANUM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46237</v>
      </c>
      <c r="F332" t="inlineStr">
        <is>
          <t>VÄSTRA GÖTALANDS LÄN</t>
        </is>
      </c>
      <c r="G332" t="inlineStr">
        <is>
          <t>TANUM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46237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46237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46237</v>
      </c>
      <c r="F335" t="inlineStr">
        <is>
          <t>VÄSTRA GÖTALANDS LÄN</t>
        </is>
      </c>
      <c r="G335" t="inlineStr">
        <is>
          <t>TANUM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45392</v>
      </c>
      <c r="E336" s="1" t="n">
        <v>46237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45552</v>
      </c>
      <c r="E337" s="1" t="n">
        <v>46237</v>
      </c>
      <c r="F337" t="inlineStr">
        <is>
          <t>VÄSTRA GÖTALANDS LÄN</t>
        </is>
      </c>
      <c r="G337" t="inlineStr">
        <is>
          <t>TANUM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44579</v>
      </c>
      <c r="E338" s="1" t="n">
        <v>46237</v>
      </c>
      <c r="F338" t="inlineStr">
        <is>
          <t>VÄSTRA GÖTALANDS LÄN</t>
        </is>
      </c>
      <c r="G338" t="inlineStr">
        <is>
          <t>TANUM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45698</v>
      </c>
      <c r="E339" s="1" t="n">
        <v>46237</v>
      </c>
      <c r="F339" t="inlineStr">
        <is>
          <t>VÄSTRA GÖTALANDS LÄN</t>
        </is>
      </c>
      <c r="G339" t="inlineStr">
        <is>
          <t>TANUM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46237</v>
      </c>
      <c r="F340" t="inlineStr">
        <is>
          <t>VÄSTRA GÖTALANDS LÄN</t>
        </is>
      </c>
      <c r="G340" t="inlineStr">
        <is>
          <t>TANUM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46237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72227-2021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44544</v>
      </c>
      <c r="E342" s="1" t="n">
        <v>46237</v>
      </c>
      <c r="F342" t="inlineStr">
        <is>
          <t>VÄSTRA GÖTALANDS LÄN</t>
        </is>
      </c>
      <c r="G342" t="inlineStr">
        <is>
          <t>TANUM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44572</v>
      </c>
      <c r="E343" s="1" t="n">
        <v>46237</v>
      </c>
      <c r="F343" t="inlineStr">
        <is>
          <t>VÄSTRA GÖTALANDS LÄN</t>
        </is>
      </c>
      <c r="G343" t="inlineStr">
        <is>
          <t>TANUM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46237</v>
      </c>
      <c r="F344" t="inlineStr">
        <is>
          <t>VÄSTRA GÖTALANDS LÄN</t>
        </is>
      </c>
      <c r="G344" t="inlineStr">
        <is>
          <t>TANUM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46237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46237</v>
      </c>
      <c r="F346" t="inlineStr">
        <is>
          <t>VÄSTRA GÖTALANDS LÄN</t>
        </is>
      </c>
      <c r="G346" t="inlineStr">
        <is>
          <t>TANUM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46237</v>
      </c>
      <c r="F347" t="inlineStr">
        <is>
          <t>VÄSTRA GÖTALANDS LÄN</t>
        </is>
      </c>
      <c r="G347" t="inlineStr">
        <is>
          <t>TANUM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66945-2021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44522</v>
      </c>
      <c r="E348" s="1" t="n">
        <v>46237</v>
      </c>
      <c r="F348" t="inlineStr">
        <is>
          <t>VÄSTRA GÖTALANDS LÄN</t>
        </is>
      </c>
      <c r="G348" t="inlineStr">
        <is>
          <t>TANUM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46237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44613</v>
      </c>
      <c r="E350" s="1" t="n">
        <v>46237</v>
      </c>
      <c r="F350" t="inlineStr">
        <is>
          <t>VÄSTRA GÖTALANDS LÄN</t>
        </is>
      </c>
      <c r="G350" t="inlineStr">
        <is>
          <t>TANUM</t>
        </is>
      </c>
      <c r="I350" t="n">
        <v>10.6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46237</v>
      </c>
      <c r="F351" t="inlineStr">
        <is>
          <t>VÄSTRA GÖTALANDS LÄN</t>
        </is>
      </c>
      <c r="G351" t="inlineStr">
        <is>
          <t>TANUM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41067-2023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46237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44591</v>
      </c>
      <c r="E353" s="1" t="n">
        <v>46237</v>
      </c>
      <c r="F353" t="inlineStr">
        <is>
          <t>VÄSTRA GÖTALANDS LÄN</t>
        </is>
      </c>
      <c r="G353" t="inlineStr">
        <is>
          <t>TANUM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64990-2021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44514</v>
      </c>
      <c r="E354" s="1" t="n">
        <v>46237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46237</v>
      </c>
      <c r="F355" t="inlineStr">
        <is>
          <t>VÄSTRA GÖTALANDS LÄN</t>
        </is>
      </c>
      <c r="G355" t="inlineStr">
        <is>
          <t>TANUM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46237</v>
      </c>
      <c r="F356" t="inlineStr">
        <is>
          <t>VÄSTRA GÖTALANDS LÄN</t>
        </is>
      </c>
      <c r="G356" t="inlineStr">
        <is>
          <t>TANUM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46237</v>
      </c>
      <c r="F357" t="inlineStr">
        <is>
          <t>VÄSTRA GÖTALANDS LÄN</t>
        </is>
      </c>
      <c r="G357" t="inlineStr">
        <is>
          <t>TANUM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46241-2023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45196</v>
      </c>
      <c r="E358" s="1" t="n">
        <v>46237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68161-2021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44526</v>
      </c>
      <c r="E359" s="1" t="n">
        <v>46237</v>
      </c>
      <c r="F359" t="inlineStr">
        <is>
          <t>VÄSTRA GÖTALANDS LÄN</t>
        </is>
      </c>
      <c r="G359" t="inlineStr">
        <is>
          <t>TANUM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46237</v>
      </c>
      <c r="F360" t="inlineStr">
        <is>
          <t>VÄSTRA GÖTALANDS LÄN</t>
        </is>
      </c>
      <c r="G360" t="inlineStr">
        <is>
          <t>TANUM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49687-2024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45596</v>
      </c>
      <c r="E361" s="1" t="n">
        <v>46237</v>
      </c>
      <c r="F361" t="inlineStr">
        <is>
          <t>VÄSTRA GÖTALANDS LÄN</t>
        </is>
      </c>
      <c r="G361" t="inlineStr">
        <is>
          <t>TANUM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45168</v>
      </c>
      <c r="E362" s="1" t="n">
        <v>46237</v>
      </c>
      <c r="F362" t="inlineStr">
        <is>
          <t>VÄSTRA GÖTALANDS LÄN</t>
        </is>
      </c>
      <c r="G362" t="inlineStr">
        <is>
          <t>TANUM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46237</v>
      </c>
      <c r="F363" t="inlineStr">
        <is>
          <t>VÄSTRA GÖTALANDS LÄN</t>
        </is>
      </c>
      <c r="G363" t="inlineStr">
        <is>
          <t>TANUM</t>
        </is>
      </c>
      <c r="H363" t="inlineStr">
        <is>
          <t>Kyrkan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46237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46237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46237</v>
      </c>
      <c r="F366" t="inlineStr">
        <is>
          <t>VÄSTRA GÖTALANDS LÄN</t>
        </is>
      </c>
      <c r="G366" t="inlineStr">
        <is>
          <t>TANUM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46237</v>
      </c>
      <c r="F367" t="inlineStr">
        <is>
          <t>VÄSTRA GÖTALANDS LÄN</t>
        </is>
      </c>
      <c r="G367" t="inlineStr">
        <is>
          <t>TANUM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46231</v>
      </c>
      <c r="E368" s="1" t="n">
        <v>46237</v>
      </c>
      <c r="F368" t="inlineStr">
        <is>
          <t>VÄSTRA GÖTALANDS LÄN</t>
        </is>
      </c>
      <c r="G368" t="inlineStr">
        <is>
          <t>TANUM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31968-2026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46231</v>
      </c>
      <c r="E369" s="1" t="n">
        <v>46237</v>
      </c>
      <c r="F369" t="inlineStr">
        <is>
          <t>VÄSTRA GÖTALANDS LÄN</t>
        </is>
      </c>
      <c r="G369" t="inlineStr">
        <is>
          <t>TANUM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46237</v>
      </c>
      <c r="F370" t="inlineStr">
        <is>
          <t>VÄSTRA GÖTALANDS LÄN</t>
        </is>
      </c>
      <c r="G370" t="inlineStr">
        <is>
          <t>TANUM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10743-2022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44627</v>
      </c>
      <c r="E371" s="1" t="n">
        <v>46237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73810-2021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46237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46237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46237</v>
      </c>
      <c r="F374" t="inlineStr">
        <is>
          <t>VÄSTRA GÖTALANDS LÄN</t>
        </is>
      </c>
      <c r="G374" t="inlineStr">
        <is>
          <t>TANUM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7352-2022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46237</v>
      </c>
      <c r="F375" t="inlineStr">
        <is>
          <t>VÄSTRA GÖTALANDS LÄN</t>
        </is>
      </c>
      <c r="G375" t="inlineStr">
        <is>
          <t>TANUM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46237</v>
      </c>
      <c r="F376" t="inlineStr">
        <is>
          <t>VÄSTRA GÖTALANDS LÄN</t>
        </is>
      </c>
      <c r="G376" t="inlineStr">
        <is>
          <t>TANUM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46237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20190-2022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44698</v>
      </c>
      <c r="E378" s="1" t="n">
        <v>46237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46237</v>
      </c>
      <c r="F379" t="inlineStr">
        <is>
          <t>VÄSTRA GÖTALANDS LÄN</t>
        </is>
      </c>
      <c r="G379" t="inlineStr">
        <is>
          <t>TANUM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46237</v>
      </c>
      <c r="F380" t="inlineStr">
        <is>
          <t>VÄSTRA GÖTALANDS LÄN</t>
        </is>
      </c>
      <c r="G380" t="inlineStr">
        <is>
          <t>TANUM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46237</v>
      </c>
      <c r="F381" t="inlineStr">
        <is>
          <t>VÄSTRA GÖTALANDS LÄN</t>
        </is>
      </c>
      <c r="G381" t="inlineStr">
        <is>
          <t>TANUM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46237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46085</v>
      </c>
      <c r="E383" s="1" t="n">
        <v>46237</v>
      </c>
      <c r="F383" t="inlineStr">
        <is>
          <t>VÄSTRA GÖTALANDS LÄN</t>
        </is>
      </c>
      <c r="G383" t="inlineStr">
        <is>
          <t>TANUM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46237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45026</v>
      </c>
      <c r="E385" s="1" t="n">
        <v>46237</v>
      </c>
      <c r="F385" t="inlineStr">
        <is>
          <t>VÄSTRA GÖTALANDS LÄN</t>
        </is>
      </c>
      <c r="G385" t="inlineStr">
        <is>
          <t>TANUM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46237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46237</v>
      </c>
      <c r="F387" t="inlineStr">
        <is>
          <t>VÄSTRA GÖTALANDS LÄN</t>
        </is>
      </c>
      <c r="G387" t="inlineStr">
        <is>
          <t>TANUM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45655</v>
      </c>
      <c r="E388" s="1" t="n">
        <v>46237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46237</v>
      </c>
      <c r="F389" t="inlineStr">
        <is>
          <t>VÄSTRA GÖTALANDS LÄN</t>
        </is>
      </c>
      <c r="G389" t="inlineStr">
        <is>
          <t>TANUM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46237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46237</v>
      </c>
      <c r="F391" t="inlineStr">
        <is>
          <t>VÄSTRA GÖTALANDS LÄN</t>
        </is>
      </c>
      <c r="G391" t="inlineStr">
        <is>
          <t>TANUM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46237</v>
      </c>
      <c r="F392" t="inlineStr">
        <is>
          <t>VÄSTRA GÖTALANDS LÄN</t>
        </is>
      </c>
      <c r="G392" t="inlineStr">
        <is>
          <t>TANUM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46237</v>
      </c>
      <c r="F393" t="inlineStr">
        <is>
          <t>VÄSTRA GÖTALANDS LÄN</t>
        </is>
      </c>
      <c r="G393" t="inlineStr">
        <is>
          <t>TANUM</t>
        </is>
      </c>
      <c r="H393" t="inlineStr">
        <is>
          <t>Sveaskog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46237</v>
      </c>
      <c r="F394" t="inlineStr">
        <is>
          <t>VÄSTRA GÖTALANDS LÄN</t>
        </is>
      </c>
      <c r="G394" t="inlineStr">
        <is>
          <t>TANUM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46237</v>
      </c>
      <c r="F395" t="inlineStr">
        <is>
          <t>VÄSTRA GÖTALANDS LÄN</t>
        </is>
      </c>
      <c r="G395" t="inlineStr">
        <is>
          <t>TANUM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46237</v>
      </c>
      <c r="F396" t="inlineStr">
        <is>
          <t>VÄSTRA GÖTALANDS LÄN</t>
        </is>
      </c>
      <c r="G396" t="inlineStr">
        <is>
          <t>TANUM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45454</v>
      </c>
      <c r="E397" s="1" t="n">
        <v>46237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45515</v>
      </c>
      <c r="E398" s="1" t="n">
        <v>46237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45085</v>
      </c>
      <c r="E399" s="1" t="n">
        <v>46237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46237</v>
      </c>
      <c r="F400" t="inlineStr">
        <is>
          <t>VÄSTRA GÖTALANDS LÄN</t>
        </is>
      </c>
      <c r="G400" t="inlineStr">
        <is>
          <t>TANUM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46237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46237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46237</v>
      </c>
      <c r="F403" t="inlineStr">
        <is>
          <t>VÄSTRA GÖTALANDS LÄN</t>
        </is>
      </c>
      <c r="G403" t="inlineStr">
        <is>
          <t>TANUM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46237</v>
      </c>
      <c r="F404" t="inlineStr">
        <is>
          <t>VÄSTRA GÖTALANDS LÄN</t>
        </is>
      </c>
      <c r="G404" t="inlineStr">
        <is>
          <t>TANUM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46237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46237</v>
      </c>
      <c r="F406" t="inlineStr">
        <is>
          <t>VÄSTRA GÖTALANDS LÄN</t>
        </is>
      </c>
      <c r="G406" t="inlineStr">
        <is>
          <t>TANUM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46237</v>
      </c>
      <c r="F407" t="inlineStr">
        <is>
          <t>VÄSTRA GÖTALANDS LÄN</t>
        </is>
      </c>
      <c r="G407" t="inlineStr">
        <is>
          <t>TANUM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46237</v>
      </c>
      <c r="F408" t="inlineStr">
        <is>
          <t>VÄSTRA GÖTALANDS LÄN</t>
        </is>
      </c>
      <c r="G408" t="inlineStr">
        <is>
          <t>TANUM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44651</v>
      </c>
      <c r="E409" s="1" t="n">
        <v>46237</v>
      </c>
      <c r="F409" t="inlineStr">
        <is>
          <t>VÄSTRA GÖTALANDS LÄN</t>
        </is>
      </c>
      <c r="G409" t="inlineStr">
        <is>
          <t>TANUM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46237</v>
      </c>
      <c r="F410" t="inlineStr">
        <is>
          <t>VÄSTRA GÖTALANDS LÄN</t>
        </is>
      </c>
      <c r="G410" t="inlineStr">
        <is>
          <t>TANUM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45756</v>
      </c>
      <c r="E411" s="1" t="n">
        <v>46237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44792</v>
      </c>
      <c r="E412" s="1" t="n">
        <v>46237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46237</v>
      </c>
      <c r="F413" t="inlineStr">
        <is>
          <t>VÄSTRA GÖTALANDS LÄN</t>
        </is>
      </c>
      <c r="G413" t="inlineStr">
        <is>
          <t>TANUM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45303</v>
      </c>
      <c r="E414" s="1" t="n">
        <v>46237</v>
      </c>
      <c r="F414" t="inlineStr">
        <is>
          <t>VÄSTRA GÖTALANDS LÄN</t>
        </is>
      </c>
      <c r="G414" t="inlineStr">
        <is>
          <t>TANUM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46237</v>
      </c>
      <c r="F415" t="inlineStr">
        <is>
          <t>VÄSTRA GÖTALANDS LÄN</t>
        </is>
      </c>
      <c r="G415" t="inlineStr">
        <is>
          <t>TANUM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44799</v>
      </c>
      <c r="E416" s="1" t="n">
        <v>46237</v>
      </c>
      <c r="F416" t="inlineStr">
        <is>
          <t>VÄSTRA GÖTALANDS LÄN</t>
        </is>
      </c>
      <c r="G416" t="inlineStr">
        <is>
          <t>TANUM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26508-2022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44739</v>
      </c>
      <c r="E417" s="1" t="n">
        <v>46237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45293</v>
      </c>
      <c r="E418" s="1" t="n">
        <v>46237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24116-2022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44725</v>
      </c>
      <c r="E419" s="1" t="n">
        <v>46237</v>
      </c>
      <c r="F419" t="inlineStr">
        <is>
          <t>VÄSTRA GÖTALANDS LÄN</t>
        </is>
      </c>
      <c r="G419" t="inlineStr">
        <is>
          <t>TANUM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45300</v>
      </c>
      <c r="E420" s="1" t="n">
        <v>46237</v>
      </c>
      <c r="F420" t="inlineStr">
        <is>
          <t>VÄSTRA GÖTALANDS LÄN</t>
        </is>
      </c>
      <c r="G420" t="inlineStr">
        <is>
          <t>TANUM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35720-2022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44799</v>
      </c>
      <c r="E421" s="1" t="n">
        <v>46237</v>
      </c>
      <c r="F421" t="inlineStr">
        <is>
          <t>VÄSTRA GÖTALANDS LÄN</t>
        </is>
      </c>
      <c r="G421" t="inlineStr">
        <is>
          <t>TANUM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46237</v>
      </c>
      <c r="F422" t="inlineStr">
        <is>
          <t>VÄSTRA GÖTALANDS LÄN</t>
        </is>
      </c>
      <c r="G422" t="inlineStr">
        <is>
          <t>TANUM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46237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44426</v>
      </c>
      <c r="E424" s="1" t="n">
        <v>46237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44812-2021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44438</v>
      </c>
      <c r="E425" s="1" t="n">
        <v>46237</v>
      </c>
      <c r="F425" t="inlineStr">
        <is>
          <t>VÄSTRA GÖTALANDS LÄN</t>
        </is>
      </c>
      <c r="G425" t="inlineStr">
        <is>
          <t>TANUM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46237</v>
      </c>
      <c r="F426" t="inlineStr">
        <is>
          <t>VÄSTRA GÖTALANDS LÄN</t>
        </is>
      </c>
      <c r="G426" t="inlineStr">
        <is>
          <t>TANUM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46237</v>
      </c>
      <c r="F427" t="inlineStr">
        <is>
          <t>VÄSTRA GÖTALANDS LÄN</t>
        </is>
      </c>
      <c r="G427" t="inlineStr">
        <is>
          <t>TANUM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46237</v>
      </c>
      <c r="F428" t="inlineStr">
        <is>
          <t>VÄSTRA GÖTALANDS LÄN</t>
        </is>
      </c>
      <c r="G428" t="inlineStr">
        <is>
          <t>TANUM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46237</v>
      </c>
      <c r="F429" t="inlineStr">
        <is>
          <t>VÄSTRA GÖTALANDS LÄN</t>
        </is>
      </c>
      <c r="G429" t="inlineStr">
        <is>
          <t>TANUM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45030</v>
      </c>
      <c r="E430" s="1" t="n">
        <v>46237</v>
      </c>
      <c r="F430" t="inlineStr">
        <is>
          <t>VÄSTRA GÖTALANDS LÄN</t>
        </is>
      </c>
      <c r="G430" t="inlineStr">
        <is>
          <t>TANUM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46237</v>
      </c>
      <c r="F431" t="inlineStr">
        <is>
          <t>VÄSTRA GÖTALANDS LÄN</t>
        </is>
      </c>
      <c r="G431" t="inlineStr">
        <is>
          <t>TANUM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46237</v>
      </c>
      <c r="F432" t="inlineStr">
        <is>
          <t>VÄSTRA GÖTALANDS LÄN</t>
        </is>
      </c>
      <c r="G432" t="inlineStr">
        <is>
          <t>TANUM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46237</v>
      </c>
      <c r="F433" t="inlineStr">
        <is>
          <t>VÄSTRA GÖTALANDS LÄN</t>
        </is>
      </c>
      <c r="G433" t="inlineStr">
        <is>
          <t>TANUM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60624-2021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44496</v>
      </c>
      <c r="E434" s="1" t="n">
        <v>46237</v>
      </c>
      <c r="F434" t="inlineStr">
        <is>
          <t>VÄSTRA GÖTALANDS LÄN</t>
        </is>
      </c>
      <c r="G434" t="inlineStr">
        <is>
          <t>TANUM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46237</v>
      </c>
      <c r="F435" t="inlineStr">
        <is>
          <t>VÄSTRA GÖTALANDS LÄN</t>
        </is>
      </c>
      <c r="G435" t="inlineStr">
        <is>
          <t>TANUM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46237</v>
      </c>
      <c r="F436" t="inlineStr">
        <is>
          <t>VÄSTRA GÖTALANDS LÄN</t>
        </is>
      </c>
      <c r="G436" t="inlineStr">
        <is>
          <t>TANUM</t>
        </is>
      </c>
      <c r="I436" t="n">
        <v>12.2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46237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Naturvårdsverket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45628</v>
      </c>
      <c r="E438" s="1" t="n">
        <v>46237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46237</v>
      </c>
      <c r="F439" t="inlineStr">
        <is>
          <t>VÄSTRA GÖTALANDS LÄN</t>
        </is>
      </c>
      <c r="G439" t="inlineStr">
        <is>
          <t>TANUM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45737</v>
      </c>
      <c r="E440" s="1" t="n">
        <v>46237</v>
      </c>
      <c r="F440" t="inlineStr">
        <is>
          <t>VÄSTRA GÖTALANDS LÄN</t>
        </is>
      </c>
      <c r="G440" t="inlineStr">
        <is>
          <t>TANUM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46237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45726</v>
      </c>
      <c r="E442" s="1" t="n">
        <v>46237</v>
      </c>
      <c r="F442" t="inlineStr">
        <is>
          <t>VÄSTRA GÖTALANDS LÄN</t>
        </is>
      </c>
      <c r="G442" t="inlineStr">
        <is>
          <t>TANUM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45265</v>
      </c>
      <c r="E443" s="1" t="n">
        <v>46237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46237</v>
      </c>
      <c r="F444" t="inlineStr">
        <is>
          <t>VÄSTRA GÖTALANDS LÄN</t>
        </is>
      </c>
      <c r="G444" t="inlineStr">
        <is>
          <t>TANUM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46237</v>
      </c>
      <c r="F445" t="inlineStr">
        <is>
          <t>VÄSTRA GÖTALANDS LÄN</t>
        </is>
      </c>
      <c r="G445" t="inlineStr">
        <is>
          <t>TANUM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43242-2022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46237</v>
      </c>
      <c r="F446" t="inlineStr">
        <is>
          <t>VÄSTRA GÖTALANDS LÄN</t>
        </is>
      </c>
      <c r="G446" t="inlineStr">
        <is>
          <t>TANUM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46237</v>
      </c>
      <c r="F447" t="inlineStr">
        <is>
          <t>VÄSTRA GÖTALANDS LÄN</t>
        </is>
      </c>
      <c r="G447" t="inlineStr">
        <is>
          <t>TANUM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46237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46237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46237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44879</v>
      </c>
      <c r="E451" s="1" t="n">
        <v>46237</v>
      </c>
      <c r="F451" t="inlineStr">
        <is>
          <t>VÄSTRA GÖTALANDS LÄN</t>
        </is>
      </c>
      <c r="G451" t="inlineStr">
        <is>
          <t>TANUM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46237</v>
      </c>
      <c r="F452" t="inlineStr">
        <is>
          <t>VÄSTRA GÖTALANDS LÄN</t>
        </is>
      </c>
      <c r="G452" t="inlineStr">
        <is>
          <t>TANUM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45362</v>
      </c>
      <c r="E453" s="1" t="n">
        <v>46237</v>
      </c>
      <c r="F453" t="inlineStr">
        <is>
          <t>VÄSTRA GÖTALANDS LÄN</t>
        </is>
      </c>
      <c r="G453" t="inlineStr">
        <is>
          <t>TANUM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45728</v>
      </c>
      <c r="E454" s="1" t="n">
        <v>46237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46237</v>
      </c>
      <c r="F455" t="inlineStr">
        <is>
          <t>VÄSTRA GÖTALANDS LÄN</t>
        </is>
      </c>
      <c r="G455" t="inlineStr">
        <is>
          <t>TANUM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44585</v>
      </c>
      <c r="E456" s="1" t="n">
        <v>46237</v>
      </c>
      <c r="F456" t="inlineStr">
        <is>
          <t>VÄSTRA GÖTALANDS LÄN</t>
        </is>
      </c>
      <c r="G456" t="inlineStr">
        <is>
          <t>TANUM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45805</v>
      </c>
      <c r="E457" s="1" t="n">
        <v>46237</v>
      </c>
      <c r="F457" t="inlineStr">
        <is>
          <t>VÄSTRA GÖTALANDS LÄN</t>
        </is>
      </c>
      <c r="G457" t="inlineStr">
        <is>
          <t>TANUM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45753</v>
      </c>
      <c r="E458" s="1" t="n">
        <v>46237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46237</v>
      </c>
      <c r="F459" t="inlineStr">
        <is>
          <t>VÄSTRA GÖTALANDS LÄN</t>
        </is>
      </c>
      <c r="G459" t="inlineStr">
        <is>
          <t>TANUM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45324</v>
      </c>
      <c r="E460" s="1" t="n">
        <v>46237</v>
      </c>
      <c r="F460" t="inlineStr">
        <is>
          <t>VÄSTRA GÖTALANDS LÄN</t>
        </is>
      </c>
      <c r="G460" t="inlineStr">
        <is>
          <t>TANUM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46237</v>
      </c>
      <c r="F461" t="inlineStr">
        <is>
          <t>VÄSTRA GÖTALANDS LÄN</t>
        </is>
      </c>
      <c r="G461" t="inlineStr">
        <is>
          <t>TANUM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46237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46237</v>
      </c>
      <c r="F463" t="inlineStr">
        <is>
          <t>VÄSTRA GÖTALANDS LÄN</t>
        </is>
      </c>
      <c r="G463" t="inlineStr">
        <is>
          <t>TANUM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46237</v>
      </c>
      <c r="F464" t="inlineStr">
        <is>
          <t>VÄSTRA GÖTALANDS LÄN</t>
        </is>
      </c>
      <c r="G464" t="inlineStr">
        <is>
          <t>TANUM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46237</v>
      </c>
      <c r="F465" t="inlineStr">
        <is>
          <t>VÄSTRA GÖTALANDS LÄN</t>
        </is>
      </c>
      <c r="G465" t="inlineStr">
        <is>
          <t>TANUM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46237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46237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45842</v>
      </c>
      <c r="E468" s="1" t="n">
        <v>46237</v>
      </c>
      <c r="F468" t="inlineStr">
        <is>
          <t>VÄSTRA GÖTALANDS LÄN</t>
        </is>
      </c>
      <c r="G468" t="inlineStr">
        <is>
          <t>TANUM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46237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46237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36884-2025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46237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45872</v>
      </c>
      <c r="E472" s="1" t="n">
        <v>46237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46237</v>
      </c>
      <c r="F473" t="inlineStr">
        <is>
          <t>VÄSTRA GÖTALANDS LÄN</t>
        </is>
      </c>
      <c r="G473" t="inlineStr">
        <is>
          <t>TANUM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46237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46237</v>
      </c>
      <c r="F475" t="inlineStr">
        <is>
          <t>VÄSTRA GÖTALANDS LÄN</t>
        </is>
      </c>
      <c r="G475" t="inlineStr">
        <is>
          <t>TANUM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46237</v>
      </c>
      <c r="F476" t="inlineStr">
        <is>
          <t>VÄSTRA GÖTALANDS LÄN</t>
        </is>
      </c>
      <c r="G476" t="inlineStr">
        <is>
          <t>TANUM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46237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45880</v>
      </c>
      <c r="E478" s="1" t="n">
        <v>46237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46237</v>
      </c>
      <c r="F479" t="inlineStr">
        <is>
          <t>VÄSTRA GÖTALANDS LÄN</t>
        </is>
      </c>
      <c r="G479" t="inlineStr">
        <is>
          <t>TANUM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46237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46237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46237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46237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46237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46237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2026-08-03T01:58:18Z</dcterms:created>
  <dcterms:modified xmlns:dcterms="http://purl.org/dc/terms/" xmlns:xsi="http://www.w3.org/2001/XMLSchema-instance" xsi:type="dcterms:W3CDTF">2026-08-03T01:58:19Z</dcterms:modified>
</cp:coreProperties>
</file>