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46293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46293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46293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46293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46293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46293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46293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46293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46293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46293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46293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46293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46293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46293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46293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46293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46293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19284-2022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46293</v>
      </c>
      <c r="F19" t="inlineStr">
        <is>
          <t>VÄSTRA GÖTALANDS LÄN</t>
        </is>
      </c>
      <c r="G19" t="inlineStr">
        <is>
          <t>TANUM</t>
        </is>
      </c>
      <c r="I19" t="n">
        <v>1.5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13</v>
      </c>
      <c r="U19" t="n">
        <v>13</v>
      </c>
      <c r="V19" s="2" t="inlineStr">
        <is>
          <t>Kattfotslav
Klippfrullania
Stor revmossa
Västlig hakmossa</t>
        </is>
      </c>
      <c r="W19">
        <f>HYPERLINK("https://klasma.github.io/Logging_1435/artfynd/A 19284-2022 artfynd.xlsx", "A 19284-2022")</f>
        <v/>
      </c>
      <c r="X19">
        <f>HYPERLINK("https://klasma.github.io/Logging_1435/kartor/A 19284-2022 karta.png", "A 19284-2022")</f>
        <v/>
      </c>
      <c r="Y19">
        <f>HYPERLINK("https://klasma.github.io/Logging_1435/kartor_geotiff/A 19284-2022 georefererad karta.tif", "A 19284-2022")</f>
        <v/>
      </c>
      <c r="AA19">
        <f>HYPERLINK("https://klasma.github.io/Logging_1435/klagomål/A 19284-2022 FSC-klagomål.docx", "A 19284-2022")</f>
        <v/>
      </c>
      <c r="AB19">
        <f>HYPERLINK("https://klasma.github.io/Logging_1435/klagomålsmail/A 19284-2022 FSC-klagomål mail.docx", "A 19284-2022")</f>
        <v/>
      </c>
      <c r="AC19">
        <f>HYPERLINK("https://klasma.github.io/Logging_1435/tillsyn/A 19284-2022 tillsynsbegäran.docx", "A 19284-2022")</f>
        <v/>
      </c>
      <c r="AD19">
        <f>HYPERLINK("https://klasma.github.io/Logging_1435/tillsynsmail/A 19284-2022 tillsynsbegäran mail.docx", "A 19284-2022")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46293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46293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46293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46293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46293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46293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46293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46293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46293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46293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36779-2026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46272</v>
      </c>
      <c r="E30" s="1" t="n">
        <v>46293</v>
      </c>
      <c r="F30" t="inlineStr">
        <is>
          <t>VÄSTRA GÖTALANDS LÄN</t>
        </is>
      </c>
      <c r="G30" t="inlineStr">
        <is>
          <t>TANUM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36779-2026 artfynd.xlsx", "A 36779-2026")</f>
        <v/>
      </c>
      <c r="X30">
        <f>HYPERLINK("https://klasma.github.io/Logging_1435/kartor/A 36779-2026 karta.png", "A 36779-2026")</f>
        <v/>
      </c>
      <c r="Y30">
        <f>HYPERLINK("https://klasma.github.io/Logging_1435/kartor_geotiff/A 36779-2026 georefererad karta.tif", "A 36779-2026")</f>
        <v/>
      </c>
      <c r="AA30">
        <f>HYPERLINK("https://klasma.github.io/Logging_1435/klagomål/A 36779-2026 FSC-klagomål.docx", "A 36779-2026")</f>
        <v/>
      </c>
      <c r="AB30">
        <f>HYPERLINK("https://klasma.github.io/Logging_1435/klagomålsmail/A 36779-2026 FSC-klagomål mail.docx", "A 36779-2026")</f>
        <v/>
      </c>
      <c r="AC30">
        <f>HYPERLINK("https://klasma.github.io/Logging_1435/tillsyn/A 36779-2026 tillsynsbegäran.docx", "A 36779-2026")</f>
        <v/>
      </c>
      <c r="AD30">
        <f>HYPERLINK("https://klasma.github.io/Logging_1435/tillsynsmail/A 36779-2026 tillsynsbegäran mail.docx", "A 36779-2026")</f>
        <v/>
      </c>
    </row>
    <row r="31" ht="15" customHeight="1">
      <c r="A31" t="inlineStr">
        <is>
          <t>A 3497-2024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45317</v>
      </c>
      <c r="E31" s="1" t="n">
        <v>46293</v>
      </c>
      <c r="F31" t="inlineStr">
        <is>
          <t>VÄSTRA GÖTALANDS LÄN</t>
        </is>
      </c>
      <c r="G31" t="inlineStr">
        <is>
          <t>TANUM</t>
        </is>
      </c>
      <c r="I31" t="n">
        <v>0.3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4</v>
      </c>
      <c r="V31" s="2" t="inlineStr">
        <is>
          <t>Fällmossa
Västlig hakmossa</t>
        </is>
      </c>
      <c r="W31">
        <f>HYPERLINK("https://klasma.github.io/Logging_1435/artfynd/A 3497-2024 artfynd.xlsx", "A 3497-2024")</f>
        <v/>
      </c>
      <c r="X31">
        <f>HYPERLINK("https://klasma.github.io/Logging_1435/kartor/A 3497-2024 karta.png", "A 3497-2024")</f>
        <v/>
      </c>
      <c r="Y31">
        <f>HYPERLINK("https://klasma.github.io/Logging_1435/kartor_geotiff/A 3497-2024 georefererad karta.tif", "A 3497-2024")</f>
        <v/>
      </c>
      <c r="AA31">
        <f>HYPERLINK("https://klasma.github.io/Logging_1435/klagomål/A 3497-2024 FSC-klagomål.docx", "A 3497-2024")</f>
        <v/>
      </c>
      <c r="AB31">
        <f>HYPERLINK("https://klasma.github.io/Logging_1435/klagomålsmail/A 3497-2024 FSC-klagomål mail.docx", "A 3497-2024")</f>
        <v/>
      </c>
      <c r="AC31">
        <f>HYPERLINK("https://klasma.github.io/Logging_1435/tillsyn/A 3497-2024 tillsynsbegäran.docx", "A 3497-2024")</f>
        <v/>
      </c>
      <c r="AD31">
        <f>HYPERLINK("https://klasma.github.io/Logging_1435/tillsynsmail/A 3497-2024 tillsynsbegäran mail.docx", "A 3497-2024")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46293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46293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46293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46293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44719</v>
      </c>
      <c r="E36" s="1" t="n">
        <v>46293</v>
      </c>
      <c r="F36" t="inlineStr">
        <is>
          <t>VÄSTRA GÖTALANDS LÄN</t>
        </is>
      </c>
      <c r="G36" t="inlineStr">
        <is>
          <t>TANUM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Blåsippa</t>
        </is>
      </c>
      <c r="W36">
        <f>HYPERLINK("https://klasma.github.io/Logging_1435/artfynd/A 23151-2022 artfynd.xlsx", "A 23151-2022")</f>
        <v/>
      </c>
      <c r="X36">
        <f>HYPERLINK("https://klasma.github.io/Logging_1435/kartor/A 23151-2022 karta.png", "A 23151-2022")</f>
        <v/>
      </c>
      <c r="Y36">
        <f>HYPERLINK("https://klasma.github.io/Logging_1435/kartor_geotiff/A 23151-2022 georefererad karta.tif", "A 23151-2022")</f>
        <v/>
      </c>
      <c r="AA36">
        <f>HYPERLINK("https://klasma.github.io/Logging_1435/klagomål/A 23151-2022 FSC-klagomål.docx", "A 23151-2022")</f>
        <v/>
      </c>
      <c r="AB36">
        <f>HYPERLINK("https://klasma.github.io/Logging_1435/klagomålsmail/A 23151-2022 FSC-klagomål mail.docx", "A 23151-2022")</f>
        <v/>
      </c>
      <c r="AC36">
        <f>HYPERLINK("https://klasma.github.io/Logging_1435/tillsyn/A 23151-2022 tillsynsbegäran.docx", "A 23151-2022")</f>
        <v/>
      </c>
      <c r="AD36">
        <f>HYPERLINK("https://klasma.github.io/Logging_1435/tillsynsmail/A 23151-2022 tillsynsbegäran mail.docx", "A 23151-2022")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46293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46293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9276-2026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46293</v>
      </c>
      <c r="F39" t="inlineStr">
        <is>
          <t>VÄSTRA GÖTALANDS LÄN</t>
        </is>
      </c>
      <c r="G39" t="inlineStr">
        <is>
          <t>TANUM</t>
        </is>
      </c>
      <c r="I39" t="n">
        <v>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HYPERLINK("https://klasma.github.io/Logging_1435/artfynd/A 9276-2026 artfynd.xlsx", "A 9276-2026")</f>
        <v/>
      </c>
      <c r="X39">
        <f>HYPERLINK("https://klasma.github.io/Logging_1435/kartor/A 9276-2026 karta.png", "A 9276-2026")</f>
        <v/>
      </c>
      <c r="Y39">
        <f>HYPERLINK("https://klasma.github.io/Logging_1435/kartor_geotiff/A 9276-2026 georefererad karta.tif", "A 9276-2026")</f>
        <v/>
      </c>
      <c r="AA39">
        <f>HYPERLINK("https://klasma.github.io/Logging_1435/klagomål/A 9276-2026 FSC-klagomål.docx", "A 9276-2026")</f>
        <v/>
      </c>
      <c r="AB39">
        <f>HYPERLINK("https://klasma.github.io/Logging_1435/klagomålsmail/A 9276-2026 FSC-klagomål mail.docx", "A 9276-2026")</f>
        <v/>
      </c>
      <c r="AC39">
        <f>HYPERLINK("https://klasma.github.io/Logging_1435/tillsyn/A 9276-2026 tillsynsbegäran.docx", "A 9276-2026")</f>
        <v/>
      </c>
      <c r="AD39">
        <f>HYPERLINK("https://klasma.github.io/Logging_1435/tillsynsmail/A 9276-2026 tillsynsbegäran mail.docx", "A 9276-2026")</f>
        <v/>
      </c>
    </row>
    <row r="40" ht="15" customHeight="1">
      <c r="A40" t="inlineStr">
        <is>
          <t>A 14821-2026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46103</v>
      </c>
      <c r="E40" s="1" t="n">
        <v>46293</v>
      </c>
      <c r="F40" t="inlineStr">
        <is>
          <t>VÄSTRA GÖTALANDS LÄN</t>
        </is>
      </c>
      <c r="G40" t="inlineStr">
        <is>
          <t>TANUM</t>
        </is>
      </c>
      <c r="I40" t="n">
        <v>2.9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HYPERLINK("https://klasma.github.io/Logging_1435/artfynd/A 14821-2026 artfynd.xlsx", "A 14821-2026")</f>
        <v/>
      </c>
      <c r="X40">
        <f>HYPERLINK("https://klasma.github.io/Logging_1435/kartor/A 14821-2026 karta.png", "A 14821-2026")</f>
        <v/>
      </c>
      <c r="Y40">
        <f>HYPERLINK("https://klasma.github.io/Logging_1435/kartor_geotiff/A 14821-2026 georefererad karta.tif", "A 14821-2026")</f>
        <v/>
      </c>
      <c r="Z40">
        <f>HYPERLINK("https://klasma.github.io/Logging_1435/knärot/A 14821-2026 karta knärot.png", "A 14821-2026")</f>
        <v/>
      </c>
      <c r="AA40">
        <f>HYPERLINK("https://klasma.github.io/Logging_1435/klagomål/A 14821-2026 FSC-klagomål.docx", "A 14821-2026")</f>
        <v/>
      </c>
      <c r="AB40">
        <f>HYPERLINK("https://klasma.github.io/Logging_1435/klagomålsmail/A 14821-2026 FSC-klagomål mail.docx", "A 14821-2026")</f>
        <v/>
      </c>
      <c r="AC40">
        <f>HYPERLINK("https://klasma.github.io/Logging_1435/tillsyn/A 14821-2026 tillsynsbegäran.docx", "A 14821-2026")</f>
        <v/>
      </c>
      <c r="AD40">
        <f>HYPERLINK("https://klasma.github.io/Logging_1435/tillsynsmail/A 14821-2026 tillsynsbegäran mail.docx", "A 14821-2026")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46293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Stallört</t>
        </is>
      </c>
      <c r="W41">
        <f>HYPERLINK("https://klasma.github.io/Logging_1435/artfynd/A 125-2025 artfynd.xlsx", "A 125-2025")</f>
        <v/>
      </c>
      <c r="X41">
        <f>HYPERLINK("https://klasma.github.io/Logging_1435/kartor/A 125-2025 karta.png", "A 125-2025")</f>
        <v/>
      </c>
      <c r="Y41">
        <f>HYPERLINK("https://klasma.github.io/Logging_1435/kartor_geotiff/A 125-2025 georefererad karta.tif", "A 125-2025")</f>
        <v/>
      </c>
      <c r="AA41">
        <f>HYPERLINK("https://klasma.github.io/Logging_1435/klagomål/A 125-2025 FSC-klagomål.docx", "A 125-2025")</f>
        <v/>
      </c>
      <c r="AB41">
        <f>HYPERLINK("https://klasma.github.io/Logging_1435/klagomålsmail/A 125-2025 FSC-klagomål mail.docx", "A 125-2025")</f>
        <v/>
      </c>
      <c r="AC41">
        <f>HYPERLINK("https://klasma.github.io/Logging_1435/tillsyn/A 125-2025 tillsynsbegäran.docx", "A 125-2025")</f>
        <v/>
      </c>
      <c r="AD41">
        <f>HYPERLINK("https://klasma.github.io/Logging_1435/tillsynsmail/A 125-2025 tillsynsbegäran mail.docx", "A 125-2025")</f>
        <v/>
      </c>
    </row>
    <row r="42" ht="15" customHeight="1">
      <c r="A42" t="inlineStr">
        <is>
          <t>A 57972-2025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45982</v>
      </c>
      <c r="E42" s="1" t="n">
        <v>46293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HYPERLINK("https://klasma.github.io/Logging_1435/artfynd/A 57972-2025 artfynd.xlsx", "A 57972-2025")</f>
        <v/>
      </c>
      <c r="X42">
        <f>HYPERLINK("https://klasma.github.io/Logging_1435/kartor/A 57972-2025 karta.png", "A 57972-2025")</f>
        <v/>
      </c>
      <c r="Y42">
        <f>HYPERLINK("https://klasma.github.io/Logging_1435/kartor_geotiff/A 57972-2025 georefererad karta.tif", "A 57972-2025")</f>
        <v/>
      </c>
      <c r="AA42">
        <f>HYPERLINK("https://klasma.github.io/Logging_1435/klagomål/A 57972-2025 FSC-klagomål.docx", "A 57972-2025")</f>
        <v/>
      </c>
      <c r="AB42">
        <f>HYPERLINK("https://klasma.github.io/Logging_1435/klagomålsmail/A 57972-2025 FSC-klagomål mail.docx", "A 57972-2025")</f>
        <v/>
      </c>
      <c r="AC42">
        <f>HYPERLINK("https://klasma.github.io/Logging_1435/tillsyn/A 57972-2025 tillsynsbegäran.docx", "A 57972-2025")</f>
        <v/>
      </c>
      <c r="AD42">
        <f>HYPERLINK("https://klasma.github.io/Logging_1435/tillsynsmail/A 57972-2025 tillsynsbegäran mail.docx", "A 57972-2025")</f>
        <v/>
      </c>
      <c r="AE42">
        <f>HYPERLINK("https://klasma.github.io/Logging_1435/fåglar/A 57972-2025 prioriterade fågelarter.docx", "A 57972-2025")</f>
        <v/>
      </c>
    </row>
    <row r="43" ht="15" customHeight="1">
      <c r="A43" t="inlineStr">
        <is>
          <t>A 4208-2025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45685</v>
      </c>
      <c r="E43" s="1" t="n">
        <v>46293</v>
      </c>
      <c r="F43" t="inlineStr">
        <is>
          <t>VÄSTRA GÖTALANDS LÄN</t>
        </is>
      </c>
      <c r="G43" t="inlineStr">
        <is>
          <t>TANUM</t>
        </is>
      </c>
      <c r="I43" t="n">
        <v>19.3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HYPERLINK("https://klasma.github.io/Logging_1435/artfynd/A 4208-2025 artfynd.xlsx", "A 4208-2025")</f>
        <v/>
      </c>
      <c r="X43">
        <f>HYPERLINK("https://klasma.github.io/Logging_1435/kartor/A 4208-2025 karta.png", "A 4208-2025")</f>
        <v/>
      </c>
      <c r="Y43">
        <f>HYPERLINK("https://klasma.github.io/Logging_1435/kartor_geotiff/A 4208-2025 georefererad karta.tif", "A 4208-2025")</f>
        <v/>
      </c>
      <c r="AA43">
        <f>HYPERLINK("https://klasma.github.io/Logging_1435/klagomål/A 4208-2025 FSC-klagomål.docx", "A 4208-2025")</f>
        <v/>
      </c>
      <c r="AB43">
        <f>HYPERLINK("https://klasma.github.io/Logging_1435/klagomålsmail/A 4208-2025 FSC-klagomål mail.docx", "A 4208-2025")</f>
        <v/>
      </c>
      <c r="AC43">
        <f>HYPERLINK("https://klasma.github.io/Logging_1435/tillsyn/A 4208-2025 tillsynsbegäran.docx", "A 4208-2025")</f>
        <v/>
      </c>
      <c r="AD43">
        <f>HYPERLINK("https://klasma.github.io/Logging_1435/tillsynsmail/A 4208-2025 tillsynsbegäran mail.docx", "A 4208-2025")</f>
        <v/>
      </c>
    </row>
    <row r="44" ht="15" customHeight="1">
      <c r="A44" t="inlineStr">
        <is>
          <t>A 23197-2026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46161</v>
      </c>
      <c r="E44" s="1" t="n">
        <v>46293</v>
      </c>
      <c r="F44" t="inlineStr">
        <is>
          <t>VÄSTRA GÖTALANDS LÄN</t>
        </is>
      </c>
      <c r="G44" t="inlineStr">
        <is>
          <t>TANUM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HYPERLINK("https://klasma.github.io/Logging_1435/artfynd/A 23197-2026 artfynd.xlsx", "A 23197-2026")</f>
        <v/>
      </c>
      <c r="X44">
        <f>HYPERLINK("https://klasma.github.io/Logging_1435/kartor/A 23197-2026 karta.png", "A 23197-2026")</f>
        <v/>
      </c>
      <c r="Y44">
        <f>HYPERLINK("https://klasma.github.io/Logging_1435/kartor_geotiff/A 23197-2026 georefererad karta.tif", "A 23197-2026")</f>
        <v/>
      </c>
      <c r="AA44">
        <f>HYPERLINK("https://klasma.github.io/Logging_1435/klagomål/A 23197-2026 FSC-klagomål.docx", "A 23197-2026")</f>
        <v/>
      </c>
      <c r="AB44">
        <f>HYPERLINK("https://klasma.github.io/Logging_1435/klagomålsmail/A 23197-2026 FSC-klagomål mail.docx", "A 23197-2026")</f>
        <v/>
      </c>
      <c r="AC44">
        <f>HYPERLINK("https://klasma.github.io/Logging_1435/tillsyn/A 23197-2026 tillsynsbegäran.docx", "A 23197-2026")</f>
        <v/>
      </c>
      <c r="AD44">
        <f>HYPERLINK("https://klasma.github.io/Logging_1435/tillsynsmail/A 23197-2026 tillsynsbegäran mail.docx", "A 23197-2026")</f>
        <v/>
      </c>
    </row>
    <row r="45" ht="15" customHeight="1">
      <c r="A45" t="inlineStr">
        <is>
          <t>A 36121-2025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45866</v>
      </c>
      <c r="E45" s="1" t="n">
        <v>46293</v>
      </c>
      <c r="F45" t="inlineStr">
        <is>
          <t>VÄSTRA GÖTALANDS LÄN</t>
        </is>
      </c>
      <c r="G45" t="inlineStr">
        <is>
          <t>TANUM</t>
        </is>
      </c>
      <c r="I45" t="n">
        <v>3.3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HYPERLINK("https://klasma.github.io/Logging_1435/artfynd/A 36121-2025 artfynd.xlsx", "A 36121-2025")</f>
        <v/>
      </c>
      <c r="X45">
        <f>HYPERLINK("https://klasma.github.io/Logging_1435/kartor/A 36121-2025 karta.png", "A 36121-2025")</f>
        <v/>
      </c>
      <c r="Y45">
        <f>HYPERLINK("https://klasma.github.io/Logging_1435/kartor_geotiff/A 36121-2025 georefererad karta.tif", "A 36121-2025")</f>
        <v/>
      </c>
      <c r="AA45">
        <f>HYPERLINK("https://klasma.github.io/Logging_1435/klagomål/A 36121-2025 FSC-klagomål.docx", "A 36121-2025")</f>
        <v/>
      </c>
      <c r="AB45">
        <f>HYPERLINK("https://klasma.github.io/Logging_1435/klagomålsmail/A 36121-2025 FSC-klagomål mail.docx", "A 36121-2025")</f>
        <v/>
      </c>
      <c r="AC45">
        <f>HYPERLINK("https://klasma.github.io/Logging_1435/tillsyn/A 36121-2025 tillsynsbegäran.docx", "A 36121-2025")</f>
        <v/>
      </c>
      <c r="AD45">
        <f>HYPERLINK("https://klasma.github.io/Logging_1435/tillsynsmail/A 36121-2025 tillsynsbegäran mail.docx", "A 36121-2025")</f>
        <v/>
      </c>
    </row>
    <row r="46" ht="15" customHeight="1">
      <c r="A46" t="inlineStr">
        <is>
          <t>A 46044-2023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46293</v>
      </c>
      <c r="F46" t="inlineStr">
        <is>
          <t>VÄSTRA GÖTALANDS LÄN</t>
        </is>
      </c>
      <c r="G46" t="inlineStr">
        <is>
          <t>TANUM</t>
        </is>
      </c>
      <c r="I46" t="n">
        <v>33.6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Korallblylav</t>
        </is>
      </c>
      <c r="W46">
        <f>HYPERLINK("https://klasma.github.io/Logging_1435/artfynd/A 46044-2023 artfynd.xlsx", "A 46044-2023")</f>
        <v/>
      </c>
      <c r="X46">
        <f>HYPERLINK("https://klasma.github.io/Logging_1435/kartor/A 46044-2023 karta.png", "A 46044-2023")</f>
        <v/>
      </c>
      <c r="Y46">
        <f>HYPERLINK("https://klasma.github.io/Logging_1435/kartor_geotiff/A 46044-2023 georefererad karta.tif", "A 46044-2023")</f>
        <v/>
      </c>
      <c r="AA46">
        <f>HYPERLINK("https://klasma.github.io/Logging_1435/klagomål/A 46044-2023 FSC-klagomål.docx", "A 46044-2023")</f>
        <v/>
      </c>
      <c r="AB46">
        <f>HYPERLINK("https://klasma.github.io/Logging_1435/klagomålsmail/A 46044-2023 FSC-klagomål mail.docx", "A 46044-2023")</f>
        <v/>
      </c>
      <c r="AC46">
        <f>HYPERLINK("https://klasma.github.io/Logging_1435/tillsyn/A 46044-2023 tillsynsbegäran.docx", "A 46044-2023")</f>
        <v/>
      </c>
      <c r="AD46">
        <f>HYPERLINK("https://klasma.github.io/Logging_1435/tillsynsmail/A 46044-2023 tillsynsbegäran mail.docx", "A 46044-2023")</f>
        <v/>
      </c>
    </row>
    <row r="47" ht="15" customHeight="1">
      <c r="A47" t="inlineStr">
        <is>
          <t>A 57566-2023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46293</v>
      </c>
      <c r="F47" t="inlineStr">
        <is>
          <t>VÄSTRA GÖTALANDS LÄN</t>
        </is>
      </c>
      <c r="G47" t="inlineStr">
        <is>
          <t>TANUM</t>
        </is>
      </c>
      <c r="I47" t="n">
        <v>1.5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Hasselsnok</t>
        </is>
      </c>
      <c r="W47">
        <f>HYPERLINK("https://klasma.github.io/Logging_1435/artfynd/A 57566-2023 artfynd.xlsx", "A 57566-2023")</f>
        <v/>
      </c>
      <c r="X47">
        <f>HYPERLINK("https://klasma.github.io/Logging_1435/kartor/A 57566-2023 karta.png", "A 57566-2023")</f>
        <v/>
      </c>
      <c r="Y47">
        <f>HYPERLINK("https://klasma.github.io/Logging_1435/kartor_geotiff/A 57566-2023 georefererad karta.tif", "A 57566-2023")</f>
        <v/>
      </c>
      <c r="AA47">
        <f>HYPERLINK("https://klasma.github.io/Logging_1435/klagomål/A 57566-2023 FSC-klagomål.docx", "A 57566-2023")</f>
        <v/>
      </c>
      <c r="AB47">
        <f>HYPERLINK("https://klasma.github.io/Logging_1435/klagomålsmail/A 57566-2023 FSC-klagomål mail.docx", "A 57566-2023")</f>
        <v/>
      </c>
      <c r="AC47">
        <f>HYPERLINK("https://klasma.github.io/Logging_1435/tillsyn/A 57566-2023 tillsynsbegäran.docx", "A 57566-2023")</f>
        <v/>
      </c>
      <c r="AD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46293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HYPERLINK("https://klasma.github.io/Logging_1435/artfynd/A 57965-2023 artfynd.xlsx", "A 57965-2023")</f>
        <v/>
      </c>
      <c r="X48">
        <f>HYPERLINK("https://klasma.github.io/Logging_1435/kartor/A 57965-2023 karta.png", "A 57965-2023")</f>
        <v/>
      </c>
      <c r="Y48">
        <f>HYPERLINK("https://klasma.github.io/Logging_1435/kartor_geotiff/A 57965-2023 georefererad karta.tif", "A 57965-2023")</f>
        <v/>
      </c>
      <c r="AA48">
        <f>HYPERLINK("https://klasma.github.io/Logging_1435/klagomål/A 57965-2023 FSC-klagomål.docx", "A 57965-2023")</f>
        <v/>
      </c>
      <c r="AB48">
        <f>HYPERLINK("https://klasma.github.io/Logging_1435/klagomålsmail/A 57965-2023 FSC-klagomål mail.docx", "A 57965-2023")</f>
        <v/>
      </c>
      <c r="AC48">
        <f>HYPERLINK("https://klasma.github.io/Logging_1435/tillsyn/A 57965-2023 tillsynsbegäran.docx", "A 57965-2023")</f>
        <v/>
      </c>
      <c r="AD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46293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Springkorn</t>
        </is>
      </c>
      <c r="W49">
        <f>HYPERLINK("https://klasma.github.io/Logging_1435/artfynd/A 9698-2024 artfynd.xlsx", "A 9698-2024")</f>
        <v/>
      </c>
      <c r="X49">
        <f>HYPERLINK("https://klasma.github.io/Logging_1435/kartor/A 9698-2024 karta.png", "A 9698-2024")</f>
        <v/>
      </c>
      <c r="Y49">
        <f>HYPERLINK("https://klasma.github.io/Logging_1435/kartor_geotiff/A 9698-2024 georefererad karta.tif", "A 9698-2024")</f>
        <v/>
      </c>
      <c r="AA49">
        <f>HYPERLINK("https://klasma.github.io/Logging_1435/klagomål/A 9698-2024 FSC-klagomål.docx", "A 9698-2024")</f>
        <v/>
      </c>
      <c r="AB49">
        <f>HYPERLINK("https://klasma.github.io/Logging_1435/klagomålsmail/A 9698-2024 FSC-klagomål mail.docx", "A 9698-2024")</f>
        <v/>
      </c>
      <c r="AC49">
        <f>HYPERLINK("https://klasma.github.io/Logging_1435/tillsyn/A 9698-2024 tillsynsbegäran.docx", "A 9698-2024")</f>
        <v/>
      </c>
      <c r="AD49">
        <f>HYPERLINK("https://klasma.github.io/Logging_1435/tillsynsmail/A 9698-2024 tillsynsbegäran mail.docx", "A 9698-2024")</f>
        <v/>
      </c>
    </row>
    <row r="50" ht="15" customHeight="1">
      <c r="A50" t="inlineStr">
        <is>
          <t>A 19343-2025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46293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Spindelblomster</t>
        </is>
      </c>
      <c r="W50">
        <f>HYPERLINK("https://klasma.github.io/Logging_1435/artfynd/A 19343-2025 artfynd.xlsx", "A 19343-2025")</f>
        <v/>
      </c>
      <c r="X50">
        <f>HYPERLINK("https://klasma.github.io/Logging_1435/kartor/A 19343-2025 karta.png", "A 19343-2025")</f>
        <v/>
      </c>
      <c r="Y50">
        <f>HYPERLINK("https://klasma.github.io/Logging_1435/kartor_geotiff/A 19343-2025 georefererad karta.tif", "A 19343-2025")</f>
        <v/>
      </c>
      <c r="AA50">
        <f>HYPERLINK("https://klasma.github.io/Logging_1435/klagomål/A 19343-2025 FSC-klagomål.docx", "A 19343-2025")</f>
        <v/>
      </c>
      <c r="AB50">
        <f>HYPERLINK("https://klasma.github.io/Logging_1435/klagomålsmail/A 19343-2025 FSC-klagomål mail.docx", "A 19343-2025")</f>
        <v/>
      </c>
      <c r="AC50">
        <f>HYPERLINK("https://klasma.github.io/Logging_1435/tillsyn/A 19343-2025 tillsynsbegäran.docx", "A 19343-2025")</f>
        <v/>
      </c>
      <c r="AD50">
        <f>HYPERLINK("https://klasma.github.io/Logging_1435/tillsynsmail/A 19343-2025 tillsynsbegäran mail.docx", "A 19343-2025")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46293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10764-2025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45722</v>
      </c>
      <c r="E52" s="1" t="n">
        <v>46293</v>
      </c>
      <c r="F52" t="inlineStr">
        <is>
          <t>VÄSTRA GÖTALANDS LÄN</t>
        </is>
      </c>
      <c r="G52" t="inlineStr">
        <is>
          <t>TANUM</t>
        </is>
      </c>
      <c r="I52" t="n">
        <v>12.6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Spindelblomster</t>
        </is>
      </c>
      <c r="W52">
        <f>HYPERLINK("https://klasma.github.io/Logging_1435/artfynd/A 10764-2025 artfynd.xlsx", "A 10764-2025")</f>
        <v/>
      </c>
      <c r="X52">
        <f>HYPERLINK("https://klasma.github.io/Logging_1435/kartor/A 10764-2025 karta.png", "A 10764-2025")</f>
        <v/>
      </c>
      <c r="Y52">
        <f>HYPERLINK("https://klasma.github.io/Logging_1435/kartor_geotiff/A 10764-2025 georefererad karta.tif", "A 10764-2025")</f>
        <v/>
      </c>
      <c r="AA52">
        <f>HYPERLINK("https://klasma.github.io/Logging_1435/klagomål/A 10764-2025 FSC-klagomål.docx", "A 10764-2025")</f>
        <v/>
      </c>
      <c r="AB52">
        <f>HYPERLINK("https://klasma.github.io/Logging_1435/klagomålsmail/A 10764-2025 FSC-klagomål mail.docx", "A 10764-2025")</f>
        <v/>
      </c>
      <c r="AC52">
        <f>HYPERLINK("https://klasma.github.io/Logging_1435/tillsyn/A 10764-2025 tillsynsbegäran.docx", "A 10764-2025")</f>
        <v/>
      </c>
      <c r="AD52">
        <f>HYPERLINK("https://klasma.github.io/Logging_1435/tillsynsmail/A 10764-2025 tillsynsbegäran mail.docx", "A 10764-2025")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46293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46293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46293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46293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46293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46293</v>
      </c>
      <c r="F58" t="inlineStr">
        <is>
          <t>VÄSTRA GÖTALANDS LÄN</t>
        </is>
      </c>
      <c r="G58" t="inlineStr">
        <is>
          <t>TANUM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46293</v>
      </c>
      <c r="F59" t="inlineStr">
        <is>
          <t>VÄSTRA GÖTALANDS LÄN</t>
        </is>
      </c>
      <c r="G59" t="inlineStr">
        <is>
          <t>TANUM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44470</v>
      </c>
      <c r="E60" s="1" t="n">
        <v>46293</v>
      </c>
      <c r="F60" t="inlineStr">
        <is>
          <t>VÄSTRA GÖTALANDS LÄN</t>
        </is>
      </c>
      <c r="G60" t="inlineStr">
        <is>
          <t>TANUM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46293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46293</v>
      </c>
      <c r="F62" t="inlineStr">
        <is>
          <t>VÄSTRA GÖTALANDS LÄN</t>
        </is>
      </c>
      <c r="G62" t="inlineStr">
        <is>
          <t>TANUM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46293</v>
      </c>
      <c r="F63" t="inlineStr">
        <is>
          <t>VÄSTRA GÖTALANDS LÄN</t>
        </is>
      </c>
      <c r="G63" t="inlineStr">
        <is>
          <t>TANUM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61618-2021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44501</v>
      </c>
      <c r="E64" s="1" t="n">
        <v>46293</v>
      </c>
      <c r="F64" t="inlineStr">
        <is>
          <t>VÄSTRA GÖTALANDS LÄN</t>
        </is>
      </c>
      <c r="G64" t="inlineStr">
        <is>
          <t>TANUM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46293</v>
      </c>
      <c r="F65" t="inlineStr">
        <is>
          <t>VÄSTRA GÖTALANDS LÄN</t>
        </is>
      </c>
      <c r="G65" t="inlineStr">
        <is>
          <t>TANUM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23800-2022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44722</v>
      </c>
      <c r="E66" s="1" t="n">
        <v>46293</v>
      </c>
      <c r="F66" t="inlineStr">
        <is>
          <t>VÄSTRA GÖTALANDS LÄN</t>
        </is>
      </c>
      <c r="G66" t="inlineStr">
        <is>
          <t>TANUM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46293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44837</v>
      </c>
      <c r="E68" s="1" t="n">
        <v>46293</v>
      </c>
      <c r="F68" t="inlineStr">
        <is>
          <t>VÄSTRA GÖTALANDS LÄN</t>
        </is>
      </c>
      <c r="G68" t="inlineStr">
        <is>
          <t>TANUM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26187-2022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44735</v>
      </c>
      <c r="E69" s="1" t="n">
        <v>46293</v>
      </c>
      <c r="F69" t="inlineStr">
        <is>
          <t>VÄSTRA GÖTALANDS LÄN</t>
        </is>
      </c>
      <c r="G69" t="inlineStr">
        <is>
          <t>TANUM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44563</v>
      </c>
      <c r="E70" s="1" t="n">
        <v>46293</v>
      </c>
      <c r="F70" t="inlineStr">
        <is>
          <t>VÄSTRA GÖTALANDS LÄN</t>
        </is>
      </c>
      <c r="G70" t="inlineStr">
        <is>
          <t>TANUM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46293</v>
      </c>
      <c r="F71" t="inlineStr">
        <is>
          <t>VÄSTRA GÖTALANDS LÄN</t>
        </is>
      </c>
      <c r="G71" t="inlineStr">
        <is>
          <t>TANUM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44506</v>
      </c>
      <c r="E72" s="1" t="n">
        <v>46293</v>
      </c>
      <c r="F72" t="inlineStr">
        <is>
          <t>VÄSTRA GÖTALANDS LÄN</t>
        </is>
      </c>
      <c r="G72" t="inlineStr">
        <is>
          <t>TANUM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44506</v>
      </c>
      <c r="E73" s="1" t="n">
        <v>46293</v>
      </c>
      <c r="F73" t="inlineStr">
        <is>
          <t>VÄSTRA GÖTALANDS LÄN</t>
        </is>
      </c>
      <c r="G73" t="inlineStr">
        <is>
          <t>TANUM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46293</v>
      </c>
      <c r="F74" t="inlineStr">
        <is>
          <t>VÄSTRA GÖTALANDS LÄN</t>
        </is>
      </c>
      <c r="G74" t="inlineStr">
        <is>
          <t>TANUM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46293</v>
      </c>
      <c r="F75" t="inlineStr">
        <is>
          <t>VÄSTRA GÖTALANDS LÄN</t>
        </is>
      </c>
      <c r="G75" t="inlineStr">
        <is>
          <t>TANUM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46293</v>
      </c>
      <c r="F76" t="inlineStr">
        <is>
          <t>VÄSTRA GÖTALANDS LÄN</t>
        </is>
      </c>
      <c r="G76" t="inlineStr">
        <is>
          <t>TANUM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44802</v>
      </c>
      <c r="E77" s="1" t="n">
        <v>46293</v>
      </c>
      <c r="F77" t="inlineStr">
        <is>
          <t>VÄSTRA GÖTALANDS LÄN</t>
        </is>
      </c>
      <c r="G77" t="inlineStr">
        <is>
          <t>TANUM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68214-2021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46293</v>
      </c>
      <c r="F78" t="inlineStr">
        <is>
          <t>VÄSTRA GÖTALANDS LÄN</t>
        </is>
      </c>
      <c r="G78" t="inlineStr">
        <is>
          <t>TANUM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46293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54055-2021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46293</v>
      </c>
      <c r="F80" t="inlineStr">
        <is>
          <t>VÄSTRA GÖTALANDS LÄN</t>
        </is>
      </c>
      <c r="G80" t="inlineStr">
        <is>
          <t>TANUM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46293</v>
      </c>
      <c r="F81" t="inlineStr">
        <is>
          <t>VÄSTRA GÖTALANDS LÄN</t>
        </is>
      </c>
      <c r="G81" t="inlineStr">
        <is>
          <t>TANUM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46293</v>
      </c>
      <c r="F82" t="inlineStr">
        <is>
          <t>VÄSTRA GÖTALANDS LÄN</t>
        </is>
      </c>
      <c r="G82" t="inlineStr">
        <is>
          <t>TANUM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46293</v>
      </c>
      <c r="F83" t="inlineStr">
        <is>
          <t>VÄSTRA GÖTALANDS LÄN</t>
        </is>
      </c>
      <c r="G83" t="inlineStr">
        <is>
          <t>TANUM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44484</v>
      </c>
      <c r="E84" s="1" t="n">
        <v>46293</v>
      </c>
      <c r="F84" t="inlineStr">
        <is>
          <t>VÄSTRA GÖTALANDS LÄN</t>
        </is>
      </c>
      <c r="G84" t="inlineStr">
        <is>
          <t>TANUM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39181-2022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46293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63333-2021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44506</v>
      </c>
      <c r="E86" s="1" t="n">
        <v>46293</v>
      </c>
      <c r="F86" t="inlineStr">
        <is>
          <t>VÄSTRA GÖTALANDS LÄN</t>
        </is>
      </c>
      <c r="G86" t="inlineStr">
        <is>
          <t>TANUM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54054-2021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44470</v>
      </c>
      <c r="E87" s="1" t="n">
        <v>46293</v>
      </c>
      <c r="F87" t="inlineStr">
        <is>
          <t>VÄSTRA GÖTALANDS LÄN</t>
        </is>
      </c>
      <c r="G87" t="inlineStr">
        <is>
          <t>TANUM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46293</v>
      </c>
      <c r="F88" t="inlineStr">
        <is>
          <t>VÄSTRA GÖTALANDS LÄN</t>
        </is>
      </c>
      <c r="G88" t="inlineStr">
        <is>
          <t>TANUM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46293</v>
      </c>
      <c r="F89" t="inlineStr">
        <is>
          <t>VÄSTRA GÖTALANDS LÄN</t>
        </is>
      </c>
      <c r="G89" t="inlineStr">
        <is>
          <t>TANUM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45187</v>
      </c>
      <c r="E90" s="1" t="n">
        <v>46293</v>
      </c>
      <c r="F90" t="inlineStr">
        <is>
          <t>VÄSTRA GÖTALANDS LÄN</t>
        </is>
      </c>
      <c r="G90" t="inlineStr">
        <is>
          <t>TANUM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62931-2023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46293</v>
      </c>
      <c r="F91" t="inlineStr">
        <is>
          <t>VÄSTRA GÖTALANDS LÄN</t>
        </is>
      </c>
      <c r="G91" t="inlineStr">
        <is>
          <t>TANUM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24100-2022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44725</v>
      </c>
      <c r="E92" s="1" t="n">
        <v>46293</v>
      </c>
      <c r="F92" t="inlineStr">
        <is>
          <t>VÄSTRA GÖTALANDS LÄN</t>
        </is>
      </c>
      <c r="G92" t="inlineStr">
        <is>
          <t>TANUM</t>
        </is>
      </c>
      <c r="I92" t="n">
        <v>10.7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59166-2021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46293</v>
      </c>
      <c r="F93" t="inlineStr">
        <is>
          <t>VÄSTRA GÖTALANDS LÄN</t>
        </is>
      </c>
      <c r="G93" t="inlineStr">
        <is>
          <t>TANUM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46293</v>
      </c>
      <c r="F94" t="inlineStr">
        <is>
          <t>VÄSTRA GÖTALANDS LÄN</t>
        </is>
      </c>
      <c r="G94" t="inlineStr">
        <is>
          <t>TANUM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44862</v>
      </c>
      <c r="E95" s="1" t="n">
        <v>46293</v>
      </c>
      <c r="F95" t="inlineStr">
        <is>
          <t>VÄSTRA GÖTALANDS LÄN</t>
        </is>
      </c>
      <c r="G95" t="inlineStr">
        <is>
          <t>TANUM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45236</v>
      </c>
      <c r="E96" s="1" t="n">
        <v>46293</v>
      </c>
      <c r="F96" t="inlineStr">
        <is>
          <t>VÄSTRA GÖTALANDS LÄN</t>
        </is>
      </c>
      <c r="G96" t="inlineStr">
        <is>
          <t>TANUM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45374</v>
      </c>
      <c r="E97" s="1" t="n">
        <v>46293</v>
      </c>
      <c r="F97" t="inlineStr">
        <is>
          <t>VÄSTRA GÖTALANDS LÄN</t>
        </is>
      </c>
      <c r="G97" t="inlineStr">
        <is>
          <t>TANUM</t>
        </is>
      </c>
      <c r="I97" t="n">
        <v>12.4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46293</v>
      </c>
      <c r="F98" t="inlineStr">
        <is>
          <t>VÄSTRA GÖTALANDS LÄN</t>
        </is>
      </c>
      <c r="G98" t="inlineStr">
        <is>
          <t>TANUM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45239</v>
      </c>
      <c r="E99" s="1" t="n">
        <v>46293</v>
      </c>
      <c r="F99" t="inlineStr">
        <is>
          <t>VÄSTRA GÖTALANDS LÄN</t>
        </is>
      </c>
      <c r="G99" t="inlineStr">
        <is>
          <t>TANUM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46293</v>
      </c>
      <c r="F100" t="inlineStr">
        <is>
          <t>VÄSTRA GÖTALANDS LÄN</t>
        </is>
      </c>
      <c r="G100" t="inlineStr">
        <is>
          <t>TANUM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59070-2023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46293</v>
      </c>
      <c r="F101" t="inlineStr">
        <is>
          <t>VÄSTRA GÖTALANDS LÄN</t>
        </is>
      </c>
      <c r="G101" t="inlineStr">
        <is>
          <t>TANUM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45698</v>
      </c>
      <c r="E102" s="1" t="n">
        <v>46293</v>
      </c>
      <c r="F102" t="inlineStr">
        <is>
          <t>VÄSTRA GÖTALANDS LÄN</t>
        </is>
      </c>
      <c r="G102" t="inlineStr">
        <is>
          <t>TANUM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51812-2022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46293</v>
      </c>
      <c r="F103" t="inlineStr">
        <is>
          <t>VÄSTRA GÖTALANDS LÄN</t>
        </is>
      </c>
      <c r="G103" t="inlineStr">
        <is>
          <t>TANUM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46293</v>
      </c>
      <c r="F104" t="inlineStr">
        <is>
          <t>VÄSTRA GÖTALANDS LÄN</t>
        </is>
      </c>
      <c r="G104" t="inlineStr">
        <is>
          <t>TANUM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44839</v>
      </c>
      <c r="E105" s="1" t="n">
        <v>46293</v>
      </c>
      <c r="F105" t="inlineStr">
        <is>
          <t>VÄSTRA GÖTALANDS LÄN</t>
        </is>
      </c>
      <c r="G105" t="inlineStr">
        <is>
          <t>TANUM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45209</v>
      </c>
      <c r="E106" s="1" t="n">
        <v>46293</v>
      </c>
      <c r="F106" t="inlineStr">
        <is>
          <t>VÄSTRA GÖTALANDS LÄN</t>
        </is>
      </c>
      <c r="G106" t="inlineStr">
        <is>
          <t>TANUM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45210</v>
      </c>
      <c r="E107" s="1" t="n">
        <v>46293</v>
      </c>
      <c r="F107" t="inlineStr">
        <is>
          <t>VÄSTRA GÖTALANDS LÄN</t>
        </is>
      </c>
      <c r="G107" t="inlineStr">
        <is>
          <t>TANUM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46293</v>
      </c>
      <c r="F108" t="inlineStr">
        <is>
          <t>VÄSTRA GÖTALANDS LÄN</t>
        </is>
      </c>
      <c r="G108" t="inlineStr">
        <is>
          <t>TANUM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45450</v>
      </c>
      <c r="E109" s="1" t="n">
        <v>46293</v>
      </c>
      <c r="F109" t="inlineStr">
        <is>
          <t>VÄSTRA GÖTALANDS LÄN</t>
        </is>
      </c>
      <c r="G109" t="inlineStr">
        <is>
          <t>TANUM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45595</v>
      </c>
      <c r="E110" s="1" t="n">
        <v>46293</v>
      </c>
      <c r="F110" t="inlineStr">
        <is>
          <t>VÄSTRA GÖTALANDS LÄN</t>
        </is>
      </c>
      <c r="G110" t="inlineStr">
        <is>
          <t>TANUM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42079-2022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46293</v>
      </c>
      <c r="F111" t="inlineStr">
        <is>
          <t>VÄSTRA GÖTALANDS LÄN</t>
        </is>
      </c>
      <c r="G111" t="inlineStr">
        <is>
          <t>TANUM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45387</v>
      </c>
      <c r="E112" s="1" t="n">
        <v>46293</v>
      </c>
      <c r="F112" t="inlineStr">
        <is>
          <t>VÄSTRA GÖTALANDS LÄN</t>
        </is>
      </c>
      <c r="G112" t="inlineStr">
        <is>
          <t>TANUM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45268</v>
      </c>
      <c r="E113" s="1" t="n">
        <v>46293</v>
      </c>
      <c r="F113" t="inlineStr">
        <is>
          <t>VÄSTRA GÖTALANDS LÄN</t>
        </is>
      </c>
      <c r="G113" t="inlineStr">
        <is>
          <t>TANUM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44890</v>
      </c>
      <c r="E114" s="1" t="n">
        <v>46293</v>
      </c>
      <c r="F114" t="inlineStr">
        <is>
          <t>VÄSTRA GÖTALANDS LÄN</t>
        </is>
      </c>
      <c r="G114" t="inlineStr">
        <is>
          <t>TANUM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53838-2023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45231</v>
      </c>
      <c r="E115" s="1" t="n">
        <v>46293</v>
      </c>
      <c r="F115" t="inlineStr">
        <is>
          <t>VÄSTRA GÖTALANDS LÄN</t>
        </is>
      </c>
      <c r="G115" t="inlineStr">
        <is>
          <t>TANUM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24697-2023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45084</v>
      </c>
      <c r="E116" s="1" t="n">
        <v>46293</v>
      </c>
      <c r="F116" t="inlineStr">
        <is>
          <t>VÄSTRA GÖTALANDS LÄN</t>
        </is>
      </c>
      <c r="G116" t="inlineStr">
        <is>
          <t>TANUM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30228-2024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45490</v>
      </c>
      <c r="E117" s="1" t="n">
        <v>46293</v>
      </c>
      <c r="F117" t="inlineStr">
        <is>
          <t>VÄSTRA GÖTALANDS LÄN</t>
        </is>
      </c>
      <c r="G117" t="inlineStr">
        <is>
          <t>TANUM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46293</v>
      </c>
      <c r="F118" t="inlineStr">
        <is>
          <t>VÄSTRA GÖTALANDS LÄN</t>
        </is>
      </c>
      <c r="G118" t="inlineStr">
        <is>
          <t>TANUM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44573</v>
      </c>
      <c r="E119" s="1" t="n">
        <v>46293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46293</v>
      </c>
      <c r="F120" t="inlineStr">
        <is>
          <t>VÄSTRA GÖTALANDS LÄN</t>
        </is>
      </c>
      <c r="G120" t="inlineStr">
        <is>
          <t>TANUM</t>
        </is>
      </c>
      <c r="I120" t="n">
        <v>10.2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46293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45265</v>
      </c>
      <c r="E122" s="1" t="n">
        <v>46293</v>
      </c>
      <c r="F122" t="inlineStr">
        <is>
          <t>VÄSTRA GÖTALANDS LÄN</t>
        </is>
      </c>
      <c r="G122" t="inlineStr">
        <is>
          <t>TANUM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39480-2024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45551</v>
      </c>
      <c r="E123" s="1" t="n">
        <v>46293</v>
      </c>
      <c r="F123" t="inlineStr">
        <is>
          <t>VÄSTRA GÖTALANDS LÄN</t>
        </is>
      </c>
      <c r="G123" t="inlineStr">
        <is>
          <t>TANUM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45392</v>
      </c>
      <c r="E124" s="1" t="n">
        <v>46293</v>
      </c>
      <c r="F124" t="inlineStr">
        <is>
          <t>VÄSTRA GÖTALANDS LÄN</t>
        </is>
      </c>
      <c r="G124" t="inlineStr">
        <is>
          <t>TANUM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53421-2022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46293</v>
      </c>
      <c r="F125" t="inlineStr">
        <is>
          <t>VÄSTRA GÖTALANDS LÄN</t>
        </is>
      </c>
      <c r="G125" t="inlineStr">
        <is>
          <t>TANUM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46029</v>
      </c>
      <c r="E126" s="1" t="n">
        <v>46293</v>
      </c>
      <c r="F126" t="inlineStr">
        <is>
          <t>VÄSTRA GÖTALANDS LÄN</t>
        </is>
      </c>
      <c r="G126" t="inlineStr">
        <is>
          <t>TANUM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45743</v>
      </c>
      <c r="E127" s="1" t="n">
        <v>46293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46293</v>
      </c>
      <c r="F128" t="inlineStr">
        <is>
          <t>VÄSTRA GÖTALANDS LÄN</t>
        </is>
      </c>
      <c r="G128" t="inlineStr">
        <is>
          <t>TANUM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46293</v>
      </c>
      <c r="F129" t="inlineStr">
        <is>
          <t>VÄSTRA GÖTALANDS LÄN</t>
        </is>
      </c>
      <c r="G129" t="inlineStr">
        <is>
          <t>TANUM</t>
        </is>
      </c>
      <c r="H129" t="inlineStr">
        <is>
          <t>Kyrkan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45728</v>
      </c>
      <c r="E130" s="1" t="n">
        <v>46293</v>
      </c>
      <c r="F130" t="inlineStr">
        <is>
          <t>VÄSTRA GÖTALANDS LÄN</t>
        </is>
      </c>
      <c r="G130" t="inlineStr">
        <is>
          <t>TANUM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46293</v>
      </c>
      <c r="F131" t="inlineStr">
        <is>
          <t>VÄSTRA GÖTALANDS LÄN</t>
        </is>
      </c>
      <c r="G131" t="inlineStr">
        <is>
          <t>TANUM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46293</v>
      </c>
      <c r="F132" t="inlineStr">
        <is>
          <t>VÄSTRA GÖTALANDS LÄN</t>
        </is>
      </c>
      <c r="G132" t="inlineStr">
        <is>
          <t>TANUM</t>
        </is>
      </c>
      <c r="H132" t="inlineStr">
        <is>
          <t>Kommuner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46293</v>
      </c>
      <c r="F133" t="inlineStr">
        <is>
          <t>VÄSTRA GÖTALANDS LÄN</t>
        </is>
      </c>
      <c r="G133" t="inlineStr">
        <is>
          <t>TANUM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10889-2025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45722</v>
      </c>
      <c r="E134" s="1" t="n">
        <v>46293</v>
      </c>
      <c r="F134" t="inlineStr">
        <is>
          <t>VÄSTRA GÖTALANDS LÄN</t>
        </is>
      </c>
      <c r="G134" t="inlineStr">
        <is>
          <t>TANUM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45425</v>
      </c>
      <c r="E135" s="1" t="n">
        <v>46293</v>
      </c>
      <c r="F135" t="inlineStr">
        <is>
          <t>VÄSTRA GÖTALANDS LÄN</t>
        </is>
      </c>
      <c r="G135" t="inlineStr">
        <is>
          <t>TANUM</t>
        </is>
      </c>
      <c r="H135" t="inlineStr">
        <is>
          <t>Kommuner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46293</v>
      </c>
      <c r="F136" t="inlineStr">
        <is>
          <t>VÄSTRA GÖTALANDS LÄN</t>
        </is>
      </c>
      <c r="G136" t="inlineStr">
        <is>
          <t>TANUM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46293</v>
      </c>
      <c r="F137" t="inlineStr">
        <is>
          <t>VÄSTRA GÖTALANDS LÄN</t>
        </is>
      </c>
      <c r="G137" t="inlineStr">
        <is>
          <t>TANUM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37106-2023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46293</v>
      </c>
      <c r="F138" t="inlineStr">
        <is>
          <t>VÄSTRA GÖTALANDS LÄN</t>
        </is>
      </c>
      <c r="G138" t="inlineStr">
        <is>
          <t>TANUM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46293</v>
      </c>
      <c r="F139" t="inlineStr">
        <is>
          <t>VÄSTRA GÖTALANDS LÄN</t>
        </is>
      </c>
      <c r="G139" t="inlineStr">
        <is>
          <t>TANUM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39351-2025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46293</v>
      </c>
      <c r="F140" t="inlineStr">
        <is>
          <t>VÄSTRA GÖTALANDS LÄN</t>
        </is>
      </c>
      <c r="G140" t="inlineStr">
        <is>
          <t>TANUM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46293</v>
      </c>
      <c r="F141" t="inlineStr">
        <is>
          <t>VÄSTRA GÖTALANDS LÄN</t>
        </is>
      </c>
      <c r="G141" t="inlineStr">
        <is>
          <t>TANUM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46293</v>
      </c>
      <c r="F142" t="inlineStr">
        <is>
          <t>VÄSTRA GÖTALANDS LÄN</t>
        </is>
      </c>
      <c r="G142" t="inlineStr">
        <is>
          <t>TANUM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46293</v>
      </c>
      <c r="F143" t="inlineStr">
        <is>
          <t>VÄSTRA GÖTALANDS LÄN</t>
        </is>
      </c>
      <c r="G143" t="inlineStr">
        <is>
          <t>TANUM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2907-2026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46293</v>
      </c>
      <c r="F144" t="inlineStr">
        <is>
          <t>VÄSTRA GÖTALANDS LÄN</t>
        </is>
      </c>
      <c r="G144" t="inlineStr">
        <is>
          <t>TANUM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46293</v>
      </c>
      <c r="F145" t="inlineStr">
        <is>
          <t>VÄSTRA GÖTALANDS LÄN</t>
        </is>
      </c>
      <c r="G145" t="inlineStr">
        <is>
          <t>TANUM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44601</v>
      </c>
      <c r="E146" s="1" t="n">
        <v>46293</v>
      </c>
      <c r="F146" t="inlineStr">
        <is>
          <t>VÄSTRA GÖTALANDS LÄN</t>
        </is>
      </c>
      <c r="G146" t="inlineStr">
        <is>
          <t>TANUM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46293</v>
      </c>
      <c r="F147" t="inlineStr">
        <is>
          <t>VÄSTRA GÖTALANDS LÄN</t>
        </is>
      </c>
      <c r="G147" t="inlineStr">
        <is>
          <t>TANUM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45303</v>
      </c>
      <c r="E148" s="1" t="n">
        <v>46293</v>
      </c>
      <c r="F148" t="inlineStr">
        <is>
          <t>VÄSTRA GÖTALANDS LÄN</t>
        </is>
      </c>
      <c r="G148" t="inlineStr">
        <is>
          <t>TANUM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46293</v>
      </c>
      <c r="F149" t="inlineStr">
        <is>
          <t>VÄSTRA GÖTALANDS LÄN</t>
        </is>
      </c>
      <c r="G149" t="inlineStr">
        <is>
          <t>TANUM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45895</v>
      </c>
      <c r="E150" s="1" t="n">
        <v>46293</v>
      </c>
      <c r="F150" t="inlineStr">
        <is>
          <t>VÄSTRA GÖTALANDS LÄN</t>
        </is>
      </c>
      <c r="G150" t="inlineStr">
        <is>
          <t>TANUM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46039</v>
      </c>
      <c r="E151" s="1" t="n">
        <v>46293</v>
      </c>
      <c r="F151" t="inlineStr">
        <is>
          <t>VÄSTRA GÖTALANDS LÄN</t>
        </is>
      </c>
      <c r="G151" t="inlineStr">
        <is>
          <t>TANUM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40458-2025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45895</v>
      </c>
      <c r="E152" s="1" t="n">
        <v>46293</v>
      </c>
      <c r="F152" t="inlineStr">
        <is>
          <t>VÄSTRA GÖTALANDS LÄN</t>
        </is>
      </c>
      <c r="G152" t="inlineStr">
        <is>
          <t>TANUM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45895</v>
      </c>
      <c r="E153" s="1" t="n">
        <v>46293</v>
      </c>
      <c r="F153" t="inlineStr">
        <is>
          <t>VÄSTRA GÖTALANDS LÄN</t>
        </is>
      </c>
      <c r="G153" t="inlineStr">
        <is>
          <t>TANUM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46293</v>
      </c>
      <c r="F154" t="inlineStr">
        <is>
          <t>VÄSTRA GÖTALANDS LÄN</t>
        </is>
      </c>
      <c r="G154" t="inlineStr">
        <is>
          <t>TANUM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46293</v>
      </c>
      <c r="F155" t="inlineStr">
        <is>
          <t>VÄSTRA GÖTALANDS LÄN</t>
        </is>
      </c>
      <c r="G155" t="inlineStr">
        <is>
          <t>TANUM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46293</v>
      </c>
      <c r="F156" t="inlineStr">
        <is>
          <t>VÄSTRA GÖTALANDS LÄN</t>
        </is>
      </c>
      <c r="G156" t="inlineStr">
        <is>
          <t>TANUM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46293</v>
      </c>
      <c r="F157" t="inlineStr">
        <is>
          <t>VÄSTRA GÖTALANDS LÄN</t>
        </is>
      </c>
      <c r="G157" t="inlineStr">
        <is>
          <t>TANUM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46293</v>
      </c>
      <c r="F158" t="inlineStr">
        <is>
          <t>VÄSTRA GÖTALANDS LÄN</t>
        </is>
      </c>
      <c r="G158" t="inlineStr">
        <is>
          <t>TANUM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46293</v>
      </c>
      <c r="F159" t="inlineStr">
        <is>
          <t>VÄSTRA GÖTALANDS LÄN</t>
        </is>
      </c>
      <c r="G159" t="inlineStr">
        <is>
          <t>TANUM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46293</v>
      </c>
      <c r="F160" t="inlineStr">
        <is>
          <t>VÄSTRA GÖTALANDS LÄN</t>
        </is>
      </c>
      <c r="G160" t="inlineStr">
        <is>
          <t>TANUM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46293</v>
      </c>
      <c r="F161" t="inlineStr">
        <is>
          <t>VÄSTRA GÖTALANDS LÄN</t>
        </is>
      </c>
      <c r="G161" t="inlineStr">
        <is>
          <t>TANUM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46293</v>
      </c>
      <c r="F162" t="inlineStr">
        <is>
          <t>VÄSTRA GÖTALANDS LÄN</t>
        </is>
      </c>
      <c r="G162" t="inlineStr">
        <is>
          <t>TANUM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45902</v>
      </c>
      <c r="E163" s="1" t="n">
        <v>46293</v>
      </c>
      <c r="F163" t="inlineStr">
        <is>
          <t>VÄSTRA GÖTALANDS LÄN</t>
        </is>
      </c>
      <c r="G163" t="inlineStr">
        <is>
          <t>TANUM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58335-2021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44488</v>
      </c>
      <c r="E164" s="1" t="n">
        <v>46293</v>
      </c>
      <c r="F164" t="inlineStr">
        <is>
          <t>VÄSTRA GÖTALANDS LÄN</t>
        </is>
      </c>
      <c r="G164" t="inlineStr">
        <is>
          <t>TANUM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45903</v>
      </c>
      <c r="E165" s="1" t="n">
        <v>46293</v>
      </c>
      <c r="F165" t="inlineStr">
        <is>
          <t>VÄSTRA GÖTALANDS LÄN</t>
        </is>
      </c>
      <c r="G165" t="inlineStr">
        <is>
          <t>TANUM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46293</v>
      </c>
      <c r="F166" t="inlineStr">
        <is>
          <t>VÄSTRA GÖTALANDS LÄN</t>
        </is>
      </c>
      <c r="G166" t="inlineStr">
        <is>
          <t>TANUM</t>
        </is>
      </c>
      <c r="I166" t="n">
        <v>13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45538</v>
      </c>
      <c r="E167" s="1" t="n">
        <v>46293</v>
      </c>
      <c r="F167" t="inlineStr">
        <is>
          <t>VÄSTRA GÖTALANDS LÄN</t>
        </is>
      </c>
      <c r="G167" t="inlineStr">
        <is>
          <t>TANUM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45029</v>
      </c>
      <c r="E168" s="1" t="n">
        <v>46293</v>
      </c>
      <c r="F168" t="inlineStr">
        <is>
          <t>VÄSTRA GÖTALANDS LÄN</t>
        </is>
      </c>
      <c r="G168" t="inlineStr">
        <is>
          <t>TANUM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46293</v>
      </c>
      <c r="F169" t="inlineStr">
        <is>
          <t>VÄSTRA GÖTALANDS LÄN</t>
        </is>
      </c>
      <c r="G169" t="inlineStr">
        <is>
          <t>TANUM</t>
        </is>
      </c>
      <c r="H169" t="inlineStr">
        <is>
          <t>Kyrkan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45506</v>
      </c>
      <c r="E170" s="1" t="n">
        <v>46293</v>
      </c>
      <c r="F170" t="inlineStr">
        <is>
          <t>VÄSTRA GÖTALANDS LÄN</t>
        </is>
      </c>
      <c r="G170" t="inlineStr">
        <is>
          <t>TANUM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45506</v>
      </c>
      <c r="E171" s="1" t="n">
        <v>46293</v>
      </c>
      <c r="F171" t="inlineStr">
        <is>
          <t>VÄSTRA GÖTALANDS LÄN</t>
        </is>
      </c>
      <c r="G171" t="inlineStr">
        <is>
          <t>TANUM</t>
        </is>
      </c>
      <c r="I171" t="n">
        <v>11.9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44939</v>
      </c>
      <c r="E172" s="1" t="n">
        <v>46293</v>
      </c>
      <c r="F172" t="inlineStr">
        <is>
          <t>VÄSTRA GÖTALANDS LÄN</t>
        </is>
      </c>
      <c r="G172" t="inlineStr">
        <is>
          <t>TANUM</t>
        </is>
      </c>
      <c r="I172" t="n">
        <v>9.9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46293</v>
      </c>
      <c r="F173" t="inlineStr">
        <is>
          <t>VÄSTRA GÖTALANDS LÄN</t>
        </is>
      </c>
      <c r="G173" t="inlineStr">
        <is>
          <t>TANUM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45350-2025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45922</v>
      </c>
      <c r="E174" s="1" t="n">
        <v>46293</v>
      </c>
      <c r="F174" t="inlineStr">
        <is>
          <t>VÄSTRA GÖTALANDS LÄN</t>
        </is>
      </c>
      <c r="G174" t="inlineStr">
        <is>
          <t>TANUM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43364-2024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45568</v>
      </c>
      <c r="E175" s="1" t="n">
        <v>46293</v>
      </c>
      <c r="F175" t="inlineStr">
        <is>
          <t>VÄSTRA GÖTALANDS LÄN</t>
        </is>
      </c>
      <c r="G175" t="inlineStr">
        <is>
          <t>TANUM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46293</v>
      </c>
      <c r="F176" t="inlineStr">
        <is>
          <t>VÄSTRA GÖTALANDS LÄN</t>
        </is>
      </c>
      <c r="G176" t="inlineStr">
        <is>
          <t>TANUM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45023</v>
      </c>
      <c r="E177" s="1" t="n">
        <v>46293</v>
      </c>
      <c r="F177" t="inlineStr">
        <is>
          <t>VÄSTRA GÖTALANDS LÄN</t>
        </is>
      </c>
      <c r="G177" t="inlineStr">
        <is>
          <t>TANUM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45925</v>
      </c>
      <c r="E178" s="1" t="n">
        <v>46293</v>
      </c>
      <c r="F178" t="inlineStr">
        <is>
          <t>VÄSTRA GÖTALANDS LÄN</t>
        </is>
      </c>
      <c r="G178" t="inlineStr">
        <is>
          <t>TANUM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43921-2024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45571</v>
      </c>
      <c r="E179" s="1" t="n">
        <v>46293</v>
      </c>
      <c r="F179" t="inlineStr">
        <is>
          <t>VÄSTRA GÖTALANDS LÄN</t>
        </is>
      </c>
      <c r="G179" t="inlineStr">
        <is>
          <t>TANUM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46071</v>
      </c>
      <c r="E180" s="1" t="n">
        <v>46293</v>
      </c>
      <c r="F180" t="inlineStr">
        <is>
          <t>VÄSTRA GÖTALANDS LÄN</t>
        </is>
      </c>
      <c r="G180" t="inlineStr">
        <is>
          <t>TANUM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46071</v>
      </c>
      <c r="E181" s="1" t="n">
        <v>46293</v>
      </c>
      <c r="F181" t="inlineStr">
        <is>
          <t>VÄSTRA GÖTALANDS LÄN</t>
        </is>
      </c>
      <c r="G181" t="inlineStr">
        <is>
          <t>TANUM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45926</v>
      </c>
      <c r="E182" s="1" t="n">
        <v>46293</v>
      </c>
      <c r="F182" t="inlineStr">
        <is>
          <t>VÄSTRA GÖTALANDS LÄN</t>
        </is>
      </c>
      <c r="G182" t="inlineStr">
        <is>
          <t>TANUM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45805</v>
      </c>
      <c r="E183" s="1" t="n">
        <v>46293</v>
      </c>
      <c r="F183" t="inlineStr">
        <is>
          <t>VÄSTRA GÖTALANDS LÄN</t>
        </is>
      </c>
      <c r="G183" t="inlineStr">
        <is>
          <t>TANUM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46293</v>
      </c>
      <c r="F184" t="inlineStr">
        <is>
          <t>VÄSTRA GÖTALANDS LÄN</t>
        </is>
      </c>
      <c r="G184" t="inlineStr">
        <is>
          <t>TANUM</t>
        </is>
      </c>
      <c r="I184" t="n">
        <v>11.9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46293</v>
      </c>
      <c r="F185" t="inlineStr">
        <is>
          <t>VÄSTRA GÖTALANDS LÄN</t>
        </is>
      </c>
      <c r="G185" t="inlineStr">
        <is>
          <t>TANUM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46870-2025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45927</v>
      </c>
      <c r="E186" s="1" t="n">
        <v>46293</v>
      </c>
      <c r="F186" t="inlineStr">
        <is>
          <t>VÄSTRA GÖTALANDS LÄN</t>
        </is>
      </c>
      <c r="G186" t="inlineStr">
        <is>
          <t>TANUM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46293</v>
      </c>
      <c r="F187" t="inlineStr">
        <is>
          <t>VÄSTRA GÖTALANDS LÄN</t>
        </is>
      </c>
      <c r="G187" t="inlineStr">
        <is>
          <t>TANUM</t>
        </is>
      </c>
      <c r="H187" t="inlineStr">
        <is>
          <t>Kyrkan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46083</v>
      </c>
      <c r="E188" s="1" t="n">
        <v>46293</v>
      </c>
      <c r="F188" t="inlineStr">
        <is>
          <t>VÄSTRA GÖTALANDS LÄN</t>
        </is>
      </c>
      <c r="G188" t="inlineStr">
        <is>
          <t>TANUM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45753</v>
      </c>
      <c r="E189" s="1" t="n">
        <v>46293</v>
      </c>
      <c r="F189" t="inlineStr">
        <is>
          <t>VÄSTRA GÖTALANDS LÄN</t>
        </is>
      </c>
      <c r="G189" t="inlineStr">
        <is>
          <t>TANUM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48750-2024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45593</v>
      </c>
      <c r="E190" s="1" t="n">
        <v>46293</v>
      </c>
      <c r="F190" t="inlineStr">
        <is>
          <t>VÄSTRA GÖTALANDS LÄN</t>
        </is>
      </c>
      <c r="G190" t="inlineStr">
        <is>
          <t>TANUM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45932</v>
      </c>
      <c r="E191" s="1" t="n">
        <v>46293</v>
      </c>
      <c r="F191" t="inlineStr">
        <is>
          <t>VÄSTRA GÖTALANDS LÄN</t>
        </is>
      </c>
      <c r="G191" t="inlineStr">
        <is>
          <t>TANUM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45575</v>
      </c>
      <c r="E192" s="1" t="n">
        <v>46293</v>
      </c>
      <c r="F192" t="inlineStr">
        <is>
          <t>VÄSTRA GÖTALANDS LÄN</t>
        </is>
      </c>
      <c r="G192" t="inlineStr">
        <is>
          <t>TANUM</t>
        </is>
      </c>
      <c r="H192" t="inlineStr">
        <is>
          <t>Naturvårdsverket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46293</v>
      </c>
      <c r="F193" t="inlineStr">
        <is>
          <t>VÄSTRA GÖTALANDS LÄN</t>
        </is>
      </c>
      <c r="G193" t="inlineStr">
        <is>
          <t>TANUM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46293</v>
      </c>
      <c r="F194" t="inlineStr">
        <is>
          <t>VÄSTRA GÖTALANDS LÄN</t>
        </is>
      </c>
      <c r="G194" t="inlineStr">
        <is>
          <t>TANUM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11809-2026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46085</v>
      </c>
      <c r="E195" s="1" t="n">
        <v>46293</v>
      </c>
      <c r="F195" t="inlineStr">
        <is>
          <t>VÄSTRA GÖTALANDS LÄN</t>
        </is>
      </c>
      <c r="G195" t="inlineStr">
        <is>
          <t>TANUM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62500-2023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45267</v>
      </c>
      <c r="E196" s="1" t="n">
        <v>46293</v>
      </c>
      <c r="F196" t="inlineStr">
        <is>
          <t>VÄSTRA GÖTALANDS LÄN</t>
        </is>
      </c>
      <c r="G196" t="inlineStr">
        <is>
          <t>TANUM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46293</v>
      </c>
      <c r="F197" t="inlineStr">
        <is>
          <t>VÄSTRA GÖTALANDS LÄN</t>
        </is>
      </c>
      <c r="G197" t="inlineStr">
        <is>
          <t>TANUM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45935</v>
      </c>
      <c r="E198" s="1" t="n">
        <v>46293</v>
      </c>
      <c r="F198" t="inlineStr">
        <is>
          <t>VÄSTRA GÖTALANDS LÄN</t>
        </is>
      </c>
      <c r="G198" t="inlineStr">
        <is>
          <t>TANUM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46293</v>
      </c>
      <c r="F199" t="inlineStr">
        <is>
          <t>VÄSTRA GÖTALANDS LÄN</t>
        </is>
      </c>
      <c r="G199" t="inlineStr">
        <is>
          <t>TANUM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44719</v>
      </c>
      <c r="E200" s="1" t="n">
        <v>46293</v>
      </c>
      <c r="F200" t="inlineStr">
        <is>
          <t>VÄSTRA GÖTALANDS LÄN</t>
        </is>
      </c>
      <c r="G200" t="inlineStr">
        <is>
          <t>TANUM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46293</v>
      </c>
      <c r="F201" t="inlineStr">
        <is>
          <t>VÄSTRA GÖTALANDS LÄN</t>
        </is>
      </c>
      <c r="G201" t="inlineStr">
        <is>
          <t>TANUM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46093</v>
      </c>
      <c r="E202" s="1" t="n">
        <v>46293</v>
      </c>
      <c r="F202" t="inlineStr">
        <is>
          <t>VÄSTRA GÖTALANDS LÄN</t>
        </is>
      </c>
      <c r="G202" t="inlineStr">
        <is>
          <t>TANUM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50935-2022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44867</v>
      </c>
      <c r="E203" s="1" t="n">
        <v>46293</v>
      </c>
      <c r="F203" t="inlineStr">
        <is>
          <t>VÄSTRA GÖTALANDS LÄN</t>
        </is>
      </c>
      <c r="G203" t="inlineStr">
        <is>
          <t>TANUM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4224-2024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45324</v>
      </c>
      <c r="E204" s="1" t="n">
        <v>46293</v>
      </c>
      <c r="F204" t="inlineStr">
        <is>
          <t>VÄSTRA GÖTALANDS LÄN</t>
        </is>
      </c>
      <c r="G204" t="inlineStr">
        <is>
          <t>TANUM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45942</v>
      </c>
      <c r="E205" s="1" t="n">
        <v>46293</v>
      </c>
      <c r="F205" t="inlineStr">
        <is>
          <t>VÄSTRA GÖTALANDS LÄN</t>
        </is>
      </c>
      <c r="G205" t="inlineStr">
        <is>
          <t>TANUM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14248-2026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46099</v>
      </c>
      <c r="E206" s="1" t="n">
        <v>46293</v>
      </c>
      <c r="F206" t="inlineStr">
        <is>
          <t>VÄSTRA GÖTALANDS LÄN</t>
        </is>
      </c>
      <c r="G206" t="inlineStr">
        <is>
          <t>TANUM</t>
        </is>
      </c>
      <c r="H206" t="inlineStr">
        <is>
          <t>Kyrkan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14469-2026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46100</v>
      </c>
      <c r="E207" s="1" t="n">
        <v>46293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Sveaskog</t>
        </is>
      </c>
      <c r="I207" t="n">
        <v>12.2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46293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45945</v>
      </c>
      <c r="E209" s="1" t="n">
        <v>46293</v>
      </c>
      <c r="F209" t="inlineStr">
        <is>
          <t>VÄSTRA GÖTALANDS LÄN</t>
        </is>
      </c>
      <c r="G209" t="inlineStr">
        <is>
          <t>TANUM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46100</v>
      </c>
      <c r="E210" s="1" t="n">
        <v>46293</v>
      </c>
      <c r="F210" t="inlineStr">
        <is>
          <t>VÄSTRA GÖTALANDS LÄN</t>
        </is>
      </c>
      <c r="G210" t="inlineStr">
        <is>
          <t>TANUM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45949</v>
      </c>
      <c r="E211" s="1" t="n">
        <v>46293</v>
      </c>
      <c r="F211" t="inlineStr">
        <is>
          <t>VÄSTRA GÖTALANDS LÄN</t>
        </is>
      </c>
      <c r="G211" t="inlineStr">
        <is>
          <t>TANUM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45597</v>
      </c>
      <c r="E212" s="1" t="n">
        <v>46293</v>
      </c>
      <c r="F212" t="inlineStr">
        <is>
          <t>VÄSTRA GÖTALANDS LÄN</t>
        </is>
      </c>
      <c r="G212" t="inlineStr">
        <is>
          <t>TANUM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45596</v>
      </c>
      <c r="E213" s="1" t="n">
        <v>46293</v>
      </c>
      <c r="F213" t="inlineStr">
        <is>
          <t>VÄSTRA GÖTALANDS LÄN</t>
        </is>
      </c>
      <c r="G213" t="inlineStr">
        <is>
          <t>TANUM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46293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Kyrkan</t>
        </is>
      </c>
      <c r="I214" t="n">
        <v>9.1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46293</v>
      </c>
      <c r="F215" t="inlineStr">
        <is>
          <t>VÄSTRA GÖTALANDS LÄN</t>
        </is>
      </c>
      <c r="G215" t="inlineStr">
        <is>
          <t>TANUM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45951</v>
      </c>
      <c r="E216" s="1" t="n">
        <v>46293</v>
      </c>
      <c r="F216" t="inlineStr">
        <is>
          <t>VÄSTRA GÖTALANDS LÄN</t>
        </is>
      </c>
      <c r="G216" t="inlineStr">
        <is>
          <t>TANUM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40043-2023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45168</v>
      </c>
      <c r="E217" s="1" t="n">
        <v>46293</v>
      </c>
      <c r="F217" t="inlineStr">
        <is>
          <t>VÄSTRA GÖTALANDS LÄN</t>
        </is>
      </c>
      <c r="G217" t="inlineStr">
        <is>
          <t>TANUM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46293</v>
      </c>
      <c r="F218" t="inlineStr">
        <is>
          <t>VÄSTRA GÖTALANDS LÄN</t>
        </is>
      </c>
      <c r="G218" t="inlineStr">
        <is>
          <t>TANUM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46293</v>
      </c>
      <c r="F219" t="inlineStr">
        <is>
          <t>VÄSTRA GÖTALANDS LÄN</t>
        </is>
      </c>
      <c r="G219" t="inlineStr">
        <is>
          <t>TANUM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46293</v>
      </c>
      <c r="F220" t="inlineStr">
        <is>
          <t>VÄSTRA GÖTALANDS LÄN</t>
        </is>
      </c>
      <c r="G220" t="inlineStr">
        <is>
          <t>TANUM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52417-2025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45954</v>
      </c>
      <c r="E221" s="1" t="n">
        <v>46293</v>
      </c>
      <c r="F221" t="inlineStr">
        <is>
          <t>VÄSTRA GÖTALANDS LÄN</t>
        </is>
      </c>
      <c r="G221" t="inlineStr">
        <is>
          <t>TANUM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46293</v>
      </c>
      <c r="F222" t="inlineStr">
        <is>
          <t>VÄSTRA GÖTALANDS LÄN</t>
        </is>
      </c>
      <c r="G222" t="inlineStr">
        <is>
          <t>TANUM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62697-2023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46293</v>
      </c>
      <c r="F223" t="inlineStr">
        <is>
          <t>VÄSTRA GÖTALANDS LÄN</t>
        </is>
      </c>
      <c r="G223" t="inlineStr">
        <is>
          <t>TANUM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52408-2025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45954</v>
      </c>
      <c r="E224" s="1" t="n">
        <v>46293</v>
      </c>
      <c r="F224" t="inlineStr">
        <is>
          <t>VÄSTRA GÖTALANDS LÄN</t>
        </is>
      </c>
      <c r="G224" t="inlineStr">
        <is>
          <t>TANUM</t>
        </is>
      </c>
      <c r="I224" t="n">
        <v>12.9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45041</v>
      </c>
      <c r="E225" s="1" t="n">
        <v>46293</v>
      </c>
      <c r="F225" t="inlineStr">
        <is>
          <t>VÄSTRA GÖTALANDS LÄN</t>
        </is>
      </c>
      <c r="G225" t="inlineStr">
        <is>
          <t>TANUM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45958</v>
      </c>
      <c r="E226" s="1" t="n">
        <v>46293</v>
      </c>
      <c r="F226" t="inlineStr">
        <is>
          <t>VÄSTRA GÖTALANDS LÄN</t>
        </is>
      </c>
      <c r="G226" t="inlineStr">
        <is>
          <t>TANUM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44946</v>
      </c>
      <c r="E227" s="1" t="n">
        <v>46293</v>
      </c>
      <c r="F227" t="inlineStr">
        <is>
          <t>VÄSTRA GÖTALANDS LÄN</t>
        </is>
      </c>
      <c r="G227" t="inlineStr">
        <is>
          <t>TANUM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18135-2026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46293</v>
      </c>
      <c r="F228" t="inlineStr">
        <is>
          <t>VÄSTRA GÖTALANDS LÄN</t>
        </is>
      </c>
      <c r="G228" t="inlineStr">
        <is>
          <t>TANUM</t>
        </is>
      </c>
      <c r="I228" t="n">
        <v>9.300000000000001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63198-2025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46010</v>
      </c>
      <c r="E229" s="1" t="n">
        <v>46293</v>
      </c>
      <c r="F229" t="inlineStr">
        <is>
          <t>VÄSTRA GÖTALANDS LÄN</t>
        </is>
      </c>
      <c r="G229" t="inlineStr">
        <is>
          <t>TANUM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46293</v>
      </c>
      <c r="F230" t="inlineStr">
        <is>
          <t>VÄSTRA GÖTALANDS LÄN</t>
        </is>
      </c>
      <c r="G230" t="inlineStr">
        <is>
          <t>TANUM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7705-2023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44969</v>
      </c>
      <c r="E231" s="1" t="n">
        <v>46293</v>
      </c>
      <c r="F231" t="inlineStr">
        <is>
          <t>VÄSTRA GÖTALANDS LÄN</t>
        </is>
      </c>
      <c r="G231" t="inlineStr">
        <is>
          <t>TANUM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46293</v>
      </c>
      <c r="F232" t="inlineStr">
        <is>
          <t>VÄSTRA GÖTALANDS LÄN</t>
        </is>
      </c>
      <c r="G232" t="inlineStr">
        <is>
          <t>TANUM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4362-2023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44954</v>
      </c>
      <c r="E233" s="1" t="n">
        <v>46293</v>
      </c>
      <c r="F233" t="inlineStr">
        <is>
          <t>VÄSTRA GÖTALANDS LÄN</t>
        </is>
      </c>
      <c r="G233" t="inlineStr">
        <is>
          <t>TANUM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45974</v>
      </c>
      <c r="E234" s="1" t="n">
        <v>46293</v>
      </c>
      <c r="F234" t="inlineStr">
        <is>
          <t>VÄSTRA GÖTALANDS LÄN</t>
        </is>
      </c>
      <c r="G234" t="inlineStr">
        <is>
          <t>TANUM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55837-2025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45972</v>
      </c>
      <c r="E235" s="1" t="n">
        <v>46293</v>
      </c>
      <c r="F235" t="inlineStr">
        <is>
          <t>VÄSTRA GÖTALANDS LÄN</t>
        </is>
      </c>
      <c r="G235" t="inlineStr">
        <is>
          <t>TANUM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59506-2024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46293</v>
      </c>
      <c r="F236" t="inlineStr">
        <is>
          <t>VÄSTRA GÖTALANDS LÄN</t>
        </is>
      </c>
      <c r="G236" t="inlineStr">
        <is>
          <t>TANUM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56944-2025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45978</v>
      </c>
      <c r="E237" s="1" t="n">
        <v>46293</v>
      </c>
      <c r="F237" t="inlineStr">
        <is>
          <t>VÄSTRA GÖTALANDS LÄN</t>
        </is>
      </c>
      <c r="G237" t="inlineStr">
        <is>
          <t>TANUM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45102</v>
      </c>
      <c r="E238" s="1" t="n">
        <v>46293</v>
      </c>
      <c r="F238" t="inlineStr">
        <is>
          <t>VÄSTRA GÖTALANDS LÄN</t>
        </is>
      </c>
      <c r="G238" t="inlineStr">
        <is>
          <t>TANUM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44929</v>
      </c>
      <c r="E239" s="1" t="n">
        <v>46293</v>
      </c>
      <c r="F239" t="inlineStr">
        <is>
          <t>VÄSTRA GÖTALANDS LÄN</t>
        </is>
      </c>
      <c r="G239" t="inlineStr">
        <is>
          <t>TANUM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44997</v>
      </c>
      <c r="E240" s="1" t="n">
        <v>46293</v>
      </c>
      <c r="F240" t="inlineStr">
        <is>
          <t>VÄSTRA GÖTALANDS LÄN</t>
        </is>
      </c>
      <c r="G240" t="inlineStr">
        <is>
          <t>TANUM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45659</v>
      </c>
      <c r="E241" s="1" t="n">
        <v>46293</v>
      </c>
      <c r="F241" t="inlineStr">
        <is>
          <t>VÄSTRA GÖTALANDS LÄN</t>
        </is>
      </c>
      <c r="G241" t="inlineStr">
        <is>
          <t>TANUM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46293</v>
      </c>
      <c r="F242" t="inlineStr">
        <is>
          <t>VÄSTRA GÖTALANDS LÄN</t>
        </is>
      </c>
      <c r="G242" t="inlineStr">
        <is>
          <t>TANUM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45673</v>
      </c>
      <c r="E243" s="1" t="n">
        <v>46293</v>
      </c>
      <c r="F243" t="inlineStr">
        <is>
          <t>VÄSTRA GÖTALANDS LÄN</t>
        </is>
      </c>
      <c r="G243" t="inlineStr">
        <is>
          <t>TANUM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58809-2025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45987</v>
      </c>
      <c r="E244" s="1" t="n">
        <v>46293</v>
      </c>
      <c r="F244" t="inlineStr">
        <is>
          <t>VÄSTRA GÖTALANDS LÄN</t>
        </is>
      </c>
      <c r="G244" t="inlineStr">
        <is>
          <t>TANUM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45673</v>
      </c>
      <c r="E245" s="1" t="n">
        <v>46293</v>
      </c>
      <c r="F245" t="inlineStr">
        <is>
          <t>VÄSTRA GÖTALANDS LÄN</t>
        </is>
      </c>
      <c r="G245" t="inlineStr">
        <is>
          <t>TANUM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45005</v>
      </c>
      <c r="E246" s="1" t="n">
        <v>46293</v>
      </c>
      <c r="F246" t="inlineStr">
        <is>
          <t>VÄSTRA GÖTALANDS LÄN</t>
        </is>
      </c>
      <c r="G246" t="inlineStr">
        <is>
          <t>TANUM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46293</v>
      </c>
      <c r="F247" t="inlineStr">
        <is>
          <t>VÄSTRA GÖTALANDS LÄN</t>
        </is>
      </c>
      <c r="G247" t="inlineStr">
        <is>
          <t>TANUM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53759-2021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44469</v>
      </c>
      <c r="E248" s="1" t="n">
        <v>46293</v>
      </c>
      <c r="F248" t="inlineStr">
        <is>
          <t>VÄSTRA GÖTALANDS LÄN</t>
        </is>
      </c>
      <c r="G248" t="inlineStr">
        <is>
          <t>TANUM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17137-2025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45755</v>
      </c>
      <c r="E249" s="1" t="n">
        <v>46293</v>
      </c>
      <c r="F249" t="inlineStr">
        <is>
          <t>VÄSTRA GÖTALANDS LÄN</t>
        </is>
      </c>
      <c r="G249" t="inlineStr">
        <is>
          <t>TANUM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61162-2025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46293</v>
      </c>
      <c r="F250" t="inlineStr">
        <is>
          <t>VÄSTRA GÖTALANDS LÄN</t>
        </is>
      </c>
      <c r="G250" t="inlineStr">
        <is>
          <t>TANUM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61152-2025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46293</v>
      </c>
      <c r="F251" t="inlineStr">
        <is>
          <t>VÄSTRA GÖTALANDS LÄN</t>
        </is>
      </c>
      <c r="G251" t="inlineStr">
        <is>
          <t>TANUM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45026</v>
      </c>
      <c r="E252" s="1" t="n">
        <v>46293</v>
      </c>
      <c r="F252" t="inlineStr">
        <is>
          <t>VÄSTRA GÖTALANDS LÄN</t>
        </is>
      </c>
      <c r="G252" t="inlineStr">
        <is>
          <t>TANUM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45872</v>
      </c>
      <c r="E253" s="1" t="n">
        <v>46293</v>
      </c>
      <c r="F253" t="inlineStr">
        <is>
          <t>VÄSTRA GÖTALANDS LÄN</t>
        </is>
      </c>
      <c r="G253" t="inlineStr">
        <is>
          <t>TANUM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45168</v>
      </c>
      <c r="E254" s="1" t="n">
        <v>46293</v>
      </c>
      <c r="F254" t="inlineStr">
        <is>
          <t>VÄSTRA GÖTALANDS LÄN</t>
        </is>
      </c>
      <c r="G254" t="inlineStr">
        <is>
          <t>TANUM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46293</v>
      </c>
      <c r="F255" t="inlineStr">
        <is>
          <t>VÄSTRA GÖTALANDS LÄN</t>
        </is>
      </c>
      <c r="G255" t="inlineStr">
        <is>
          <t>TANUM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45085</v>
      </c>
      <c r="E256" s="1" t="n">
        <v>46293</v>
      </c>
      <c r="F256" t="inlineStr">
        <is>
          <t>VÄSTRA GÖTALANDS LÄN</t>
        </is>
      </c>
      <c r="G256" t="inlineStr">
        <is>
          <t>TANUM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45820</v>
      </c>
      <c r="E257" s="1" t="n">
        <v>46293</v>
      </c>
      <c r="F257" t="inlineStr">
        <is>
          <t>VÄSTRA GÖTALANDS LÄN</t>
        </is>
      </c>
      <c r="G257" t="inlineStr">
        <is>
          <t>TANUM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46293</v>
      </c>
      <c r="F258" t="inlineStr">
        <is>
          <t>VÄSTRA GÖTALANDS LÄN</t>
        </is>
      </c>
      <c r="G258" t="inlineStr">
        <is>
          <t>TANUM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44832</v>
      </c>
      <c r="E259" s="1" t="n">
        <v>46293</v>
      </c>
      <c r="F259" t="inlineStr">
        <is>
          <t>VÄSTRA GÖTALANDS LÄN</t>
        </is>
      </c>
      <c r="G259" t="inlineStr">
        <is>
          <t>TANUM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63326-2021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44506</v>
      </c>
      <c r="E260" s="1" t="n">
        <v>46293</v>
      </c>
      <c r="F260" t="inlineStr">
        <is>
          <t>VÄSTRA GÖTALANDS LÄN</t>
        </is>
      </c>
      <c r="G260" t="inlineStr">
        <is>
          <t>TANUM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45686</v>
      </c>
      <c r="E261" s="1" t="n">
        <v>46293</v>
      </c>
      <c r="F261" t="inlineStr">
        <is>
          <t>VÄSTRA GÖTALANDS LÄN</t>
        </is>
      </c>
      <c r="G261" t="inlineStr">
        <is>
          <t>TANUM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46293</v>
      </c>
      <c r="F262" t="inlineStr">
        <is>
          <t>VÄSTRA GÖTALANDS LÄN</t>
        </is>
      </c>
      <c r="G262" t="inlineStr">
        <is>
          <t>TANUM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28546-2025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45819</v>
      </c>
      <c r="E263" s="1" t="n">
        <v>46293</v>
      </c>
      <c r="F263" t="inlineStr">
        <is>
          <t>VÄSTRA GÖTALANDS LÄN</t>
        </is>
      </c>
      <c r="G263" t="inlineStr">
        <is>
          <t>TANUM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44807</v>
      </c>
      <c r="E264" s="1" t="n">
        <v>46293</v>
      </c>
      <c r="F264" t="inlineStr">
        <is>
          <t>VÄSTRA GÖTALANDS LÄN</t>
        </is>
      </c>
      <c r="G264" t="inlineStr">
        <is>
          <t>TANUM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45987</v>
      </c>
      <c r="E265" s="1" t="n">
        <v>46293</v>
      </c>
      <c r="F265" t="inlineStr">
        <is>
          <t>VÄSTRA GÖTALANDS LÄN</t>
        </is>
      </c>
      <c r="G265" t="inlineStr">
        <is>
          <t>TANUM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45677</v>
      </c>
      <c r="E266" s="1" t="n">
        <v>46293</v>
      </c>
      <c r="F266" t="inlineStr">
        <is>
          <t>VÄSTRA GÖTALANDS LÄN</t>
        </is>
      </c>
      <c r="G266" t="inlineStr">
        <is>
          <t>TANUM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45739</v>
      </c>
      <c r="E267" s="1" t="n">
        <v>46293</v>
      </c>
      <c r="F267" t="inlineStr">
        <is>
          <t>VÄSTRA GÖTALANDS LÄN</t>
        </is>
      </c>
      <c r="G267" t="inlineStr">
        <is>
          <t>TANUM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10675-2024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45369</v>
      </c>
      <c r="E268" s="1" t="n">
        <v>46293</v>
      </c>
      <c r="F268" t="inlineStr">
        <is>
          <t>VÄSTRA GÖTALANDS LÄN</t>
        </is>
      </c>
      <c r="G268" t="inlineStr">
        <is>
          <t>TANUM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46293</v>
      </c>
      <c r="F269" t="inlineStr">
        <is>
          <t>VÄSTRA GÖTALANDS LÄN</t>
        </is>
      </c>
      <c r="G269" t="inlineStr">
        <is>
          <t>TANUM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45837</v>
      </c>
      <c r="E270" s="1" t="n">
        <v>46293</v>
      </c>
      <c r="F270" t="inlineStr">
        <is>
          <t>VÄSTRA GÖTALANDS LÄN</t>
        </is>
      </c>
      <c r="G270" t="inlineStr">
        <is>
          <t>TANUM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44908</v>
      </c>
      <c r="E271" s="1" t="n">
        <v>46293</v>
      </c>
      <c r="F271" t="inlineStr">
        <is>
          <t>VÄSTRA GÖTALANDS LÄN</t>
        </is>
      </c>
      <c r="G271" t="inlineStr">
        <is>
          <t>TANUM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46293</v>
      </c>
      <c r="F272" t="inlineStr">
        <is>
          <t>VÄSTRA GÖTALANDS LÄN</t>
        </is>
      </c>
      <c r="G272" t="inlineStr">
        <is>
          <t>TANUM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15217-2025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45744</v>
      </c>
      <c r="E273" s="1" t="n">
        <v>46293</v>
      </c>
      <c r="F273" t="inlineStr">
        <is>
          <t>VÄSTRA GÖTALANDS LÄN</t>
        </is>
      </c>
      <c r="G273" t="inlineStr">
        <is>
          <t>TANUM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44585</v>
      </c>
      <c r="E274" s="1" t="n">
        <v>46293</v>
      </c>
      <c r="F274" t="inlineStr">
        <is>
          <t>VÄSTRA GÖTALANDS LÄN</t>
        </is>
      </c>
      <c r="G274" t="inlineStr">
        <is>
          <t>TANUM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45597</v>
      </c>
      <c r="E275" s="1" t="n">
        <v>46293</v>
      </c>
      <c r="F275" t="inlineStr">
        <is>
          <t>VÄSTRA GÖTALANDS LÄN</t>
        </is>
      </c>
      <c r="G275" t="inlineStr">
        <is>
          <t>TANUM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53033-2021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44467</v>
      </c>
      <c r="E276" s="1" t="n">
        <v>46293</v>
      </c>
      <c r="F276" t="inlineStr">
        <is>
          <t>VÄSTRA GÖTALANDS LÄN</t>
        </is>
      </c>
      <c r="G276" t="inlineStr">
        <is>
          <t>TANUM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21751-2023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45063</v>
      </c>
      <c r="E277" s="1" t="n">
        <v>46293</v>
      </c>
      <c r="F277" t="inlineStr">
        <is>
          <t>VÄSTRA GÖTALANDS LÄN</t>
        </is>
      </c>
      <c r="G277" t="inlineStr">
        <is>
          <t>TANUM</t>
        </is>
      </c>
      <c r="H277" t="inlineStr">
        <is>
          <t>Kyrkan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46140-2022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44846</v>
      </c>
      <c r="E278" s="1" t="n">
        <v>46293</v>
      </c>
      <c r="F278" t="inlineStr">
        <is>
          <t>VÄSTRA GÖTALANDS LÄN</t>
        </is>
      </c>
      <c r="G278" t="inlineStr">
        <is>
          <t>TANUM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45834</v>
      </c>
      <c r="E279" s="1" t="n">
        <v>46293</v>
      </c>
      <c r="F279" t="inlineStr">
        <is>
          <t>VÄSTRA GÖTALANDS LÄN</t>
        </is>
      </c>
      <c r="G279" t="inlineStr">
        <is>
          <t>TANUM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46293</v>
      </c>
      <c r="F280" t="inlineStr">
        <is>
          <t>VÄSTRA GÖTALANDS LÄN</t>
        </is>
      </c>
      <c r="G280" t="inlineStr">
        <is>
          <t>TANUM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55995-2022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44887</v>
      </c>
      <c r="E281" s="1" t="n">
        <v>46293</v>
      </c>
      <c r="F281" t="inlineStr">
        <is>
          <t>VÄSTRA GÖTALANDS LÄN</t>
        </is>
      </c>
      <c r="G281" t="inlineStr">
        <is>
          <t>TANUM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60351-2023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45259</v>
      </c>
      <c r="E282" s="1" t="n">
        <v>46293</v>
      </c>
      <c r="F282" t="inlineStr">
        <is>
          <t>VÄSTRA GÖTALANDS LÄN</t>
        </is>
      </c>
      <c r="G282" t="inlineStr">
        <is>
          <t>TANUM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45168</v>
      </c>
      <c r="E283" s="1" t="n">
        <v>46293</v>
      </c>
      <c r="F283" t="inlineStr">
        <is>
          <t>VÄSTRA GÖTALANDS LÄN</t>
        </is>
      </c>
      <c r="G283" t="inlineStr">
        <is>
          <t>TANUM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45842</v>
      </c>
      <c r="E284" s="1" t="n">
        <v>46293</v>
      </c>
      <c r="F284" t="inlineStr">
        <is>
          <t>VÄSTRA GÖTALANDS LÄN</t>
        </is>
      </c>
      <c r="G284" t="inlineStr">
        <is>
          <t>TANUM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23375-2026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46162</v>
      </c>
      <c r="E285" s="1" t="n">
        <v>46293</v>
      </c>
      <c r="F285" t="inlineStr">
        <is>
          <t>VÄSTRA GÖTALANDS LÄN</t>
        </is>
      </c>
      <c r="G285" t="inlineStr">
        <is>
          <t>TANUM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45842</v>
      </c>
      <c r="E286" s="1" t="n">
        <v>46293</v>
      </c>
      <c r="F286" t="inlineStr">
        <is>
          <t>VÄSTRA GÖTALANDS LÄN</t>
        </is>
      </c>
      <c r="G286" t="inlineStr">
        <is>
          <t>TANUM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45842</v>
      </c>
      <c r="E287" s="1" t="n">
        <v>46293</v>
      </c>
      <c r="F287" t="inlineStr">
        <is>
          <t>VÄSTRA GÖTALANDS LÄN</t>
        </is>
      </c>
      <c r="G287" t="inlineStr">
        <is>
          <t>TANUM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45293</v>
      </c>
      <c r="E288" s="1" t="n">
        <v>46293</v>
      </c>
      <c r="F288" t="inlineStr">
        <is>
          <t>VÄSTRA GÖTALANDS LÄN</t>
        </is>
      </c>
      <c r="G288" t="inlineStr">
        <is>
          <t>TANUM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26624-2024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45469</v>
      </c>
      <c r="E289" s="1" t="n">
        <v>46293</v>
      </c>
      <c r="F289" t="inlineStr">
        <is>
          <t>VÄSTRA GÖTALANDS LÄN</t>
        </is>
      </c>
      <c r="G289" t="inlineStr">
        <is>
          <t>TANUM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28760-2025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46293</v>
      </c>
      <c r="F290" t="inlineStr">
        <is>
          <t>VÄSTRA GÖTALANDS LÄN</t>
        </is>
      </c>
      <c r="G290" t="inlineStr">
        <is>
          <t>TANUM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45645</v>
      </c>
      <c r="E291" s="1" t="n">
        <v>46293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46293</v>
      </c>
      <c r="F292" t="inlineStr">
        <is>
          <t>VÄSTRA GÖTALANDS LÄN</t>
        </is>
      </c>
      <c r="G292" t="inlineStr">
        <is>
          <t>TANUM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45946</v>
      </c>
      <c r="E293" s="1" t="n">
        <v>46293</v>
      </c>
      <c r="F293" t="inlineStr">
        <is>
          <t>VÄSTRA GÖTALANDS LÄN</t>
        </is>
      </c>
      <c r="G293" t="inlineStr">
        <is>
          <t>TANUM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30322-2026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46207</v>
      </c>
      <c r="E294" s="1" t="n">
        <v>46293</v>
      </c>
      <c r="F294" t="inlineStr">
        <is>
          <t>VÄSTRA GÖTALANDS LÄN</t>
        </is>
      </c>
      <c r="G294" t="inlineStr">
        <is>
          <t>TANUM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50796-2023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46293</v>
      </c>
      <c r="F295" t="inlineStr">
        <is>
          <t>VÄSTRA GÖTALANDS LÄN</t>
        </is>
      </c>
      <c r="G295" t="inlineStr">
        <is>
          <t>TANUM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39184-2022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44817</v>
      </c>
      <c r="E296" s="1" t="n">
        <v>46293</v>
      </c>
      <c r="F296" t="inlineStr">
        <is>
          <t>VÄSTRA GÖTALANDS LÄN</t>
        </is>
      </c>
      <c r="G296" t="inlineStr">
        <is>
          <t>TANUM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26371-2024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46293</v>
      </c>
      <c r="F297" t="inlineStr">
        <is>
          <t>VÄSTRA GÖTALANDS LÄN</t>
        </is>
      </c>
      <c r="G297" t="inlineStr">
        <is>
          <t>TANUM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18882-2026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46129</v>
      </c>
      <c r="E298" s="1" t="n">
        <v>46293</v>
      </c>
      <c r="F298" t="inlineStr">
        <is>
          <t>VÄSTRA GÖTALANDS LÄN</t>
        </is>
      </c>
      <c r="G298" t="inlineStr">
        <is>
          <t>TANUM</t>
        </is>
      </c>
      <c r="I298" t="n">
        <v>7.6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33976-2024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45522</v>
      </c>
      <c r="E299" s="1" t="n">
        <v>46293</v>
      </c>
      <c r="F299" t="inlineStr">
        <is>
          <t>VÄSTRA GÖTALANDS LÄN</t>
        </is>
      </c>
      <c r="G299" t="inlineStr">
        <is>
          <t>TANUM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45488</v>
      </c>
      <c r="E300" s="1" t="n">
        <v>46293</v>
      </c>
      <c r="F300" t="inlineStr">
        <is>
          <t>VÄSTRA GÖTALANDS LÄN</t>
        </is>
      </c>
      <c r="G300" t="inlineStr">
        <is>
          <t>TANUM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35201-2023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45145</v>
      </c>
      <c r="E301" s="1" t="n">
        <v>46293</v>
      </c>
      <c r="F301" t="inlineStr">
        <is>
          <t>VÄSTRA GÖTALANDS LÄN</t>
        </is>
      </c>
      <c r="G301" t="inlineStr">
        <is>
          <t>TANUM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72223-2021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44544</v>
      </c>
      <c r="E302" s="1" t="n">
        <v>46293</v>
      </c>
      <c r="F302" t="inlineStr">
        <is>
          <t>VÄSTRA GÖTALANDS LÄN</t>
        </is>
      </c>
      <c r="G302" t="inlineStr">
        <is>
          <t>TANUM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44964</v>
      </c>
      <c r="E303" s="1" t="n">
        <v>46293</v>
      </c>
      <c r="F303" t="inlineStr">
        <is>
          <t>VÄSTRA GÖTALANDS LÄN</t>
        </is>
      </c>
      <c r="G303" t="inlineStr">
        <is>
          <t>TANUM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12343-2023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44999</v>
      </c>
      <c r="E304" s="1" t="n">
        <v>46293</v>
      </c>
      <c r="F304" t="inlineStr">
        <is>
          <t>VÄSTRA GÖTALANDS LÄN</t>
        </is>
      </c>
      <c r="G304" t="inlineStr">
        <is>
          <t>TANUM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25161-2026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46175</v>
      </c>
      <c r="E305" s="1" t="n">
        <v>46293</v>
      </c>
      <c r="F305" t="inlineStr">
        <is>
          <t>VÄSTRA GÖTALANDS LÄN</t>
        </is>
      </c>
      <c r="G305" t="inlineStr">
        <is>
          <t>TANUM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25518-2026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46177</v>
      </c>
      <c r="E306" s="1" t="n">
        <v>46293</v>
      </c>
      <c r="F306" t="inlineStr">
        <is>
          <t>VÄSTRA GÖTALANDS LÄN</t>
        </is>
      </c>
      <c r="G306" t="inlineStr">
        <is>
          <t>TANUM</t>
        </is>
      </c>
      <c r="I306" t="n">
        <v>11.6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12853-2024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45384</v>
      </c>
      <c r="E307" s="1" t="n">
        <v>46293</v>
      </c>
      <c r="F307" t="inlineStr">
        <is>
          <t>VÄSTRA GÖTALANDS LÄN</t>
        </is>
      </c>
      <c r="G307" t="inlineStr">
        <is>
          <t>TANUM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12854-2024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45384</v>
      </c>
      <c r="E308" s="1" t="n">
        <v>46293</v>
      </c>
      <c r="F308" t="inlineStr">
        <is>
          <t>VÄSTRA GÖTALANDS LÄN</t>
        </is>
      </c>
      <c r="G308" t="inlineStr">
        <is>
          <t>TANUM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46176</v>
      </c>
      <c r="E309" s="1" t="n">
        <v>46293</v>
      </c>
      <c r="F309" t="inlineStr">
        <is>
          <t>VÄSTRA GÖTALANDS LÄN</t>
        </is>
      </c>
      <c r="G309" t="inlineStr">
        <is>
          <t>TANUM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14004-2024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45392</v>
      </c>
      <c r="E310" s="1" t="n">
        <v>46293</v>
      </c>
      <c r="F310" t="inlineStr">
        <is>
          <t>VÄSTRA GÖTALANDS LÄN</t>
        </is>
      </c>
      <c r="G310" t="inlineStr">
        <is>
          <t>TANUM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46176</v>
      </c>
      <c r="E311" s="1" t="n">
        <v>46293</v>
      </c>
      <c r="F311" t="inlineStr">
        <is>
          <t>VÄSTRA GÖTALANDS LÄN</t>
        </is>
      </c>
      <c r="G311" t="inlineStr">
        <is>
          <t>TANUM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46293</v>
      </c>
      <c r="F312" t="inlineStr">
        <is>
          <t>VÄSTRA GÖTALANDS LÄN</t>
        </is>
      </c>
      <c r="G312" t="inlineStr">
        <is>
          <t>TANUM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39549-2024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45552</v>
      </c>
      <c r="E313" s="1" t="n">
        <v>46293</v>
      </c>
      <c r="F313" t="inlineStr">
        <is>
          <t>VÄSTRA GÖTALANDS LÄN</t>
        </is>
      </c>
      <c r="G313" t="inlineStr">
        <is>
          <t>TANUM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25791-2026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46293</v>
      </c>
      <c r="F314" t="inlineStr">
        <is>
          <t>VÄSTRA GÖTALANDS LÄN</t>
        </is>
      </c>
      <c r="G314" t="inlineStr">
        <is>
          <t>TANUM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2420-2022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44579</v>
      </c>
      <c r="E315" s="1" t="n">
        <v>46293</v>
      </c>
      <c r="F315" t="inlineStr">
        <is>
          <t>VÄSTRA GÖTALANDS LÄN</t>
        </is>
      </c>
      <c r="G315" t="inlineStr">
        <is>
          <t>TANUM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45698</v>
      </c>
      <c r="E316" s="1" t="n">
        <v>46293</v>
      </c>
      <c r="F316" t="inlineStr">
        <is>
          <t>VÄSTRA GÖTALANDS LÄN</t>
        </is>
      </c>
      <c r="G316" t="inlineStr">
        <is>
          <t>TANUM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45566</v>
      </c>
      <c r="E317" s="1" t="n">
        <v>46293</v>
      </c>
      <c r="F317" t="inlineStr">
        <is>
          <t>VÄSTRA GÖTALANDS LÄN</t>
        </is>
      </c>
      <c r="G317" t="inlineStr">
        <is>
          <t>TANUM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72227-2021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44544</v>
      </c>
      <c r="E318" s="1" t="n">
        <v>46293</v>
      </c>
      <c r="F318" t="inlineStr">
        <is>
          <t>VÄSTRA GÖTALANDS LÄN</t>
        </is>
      </c>
      <c r="G318" t="inlineStr">
        <is>
          <t>TANUM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44572</v>
      </c>
      <c r="E319" s="1" t="n">
        <v>46293</v>
      </c>
      <c r="F319" t="inlineStr">
        <is>
          <t>VÄSTRA GÖTALANDS LÄN</t>
        </is>
      </c>
      <c r="G319" t="inlineStr">
        <is>
          <t>TANUM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36884-2025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45874</v>
      </c>
      <c r="E320" s="1" t="n">
        <v>46293</v>
      </c>
      <c r="F320" t="inlineStr">
        <is>
          <t>VÄSTRA GÖTALANDS LÄN</t>
        </is>
      </c>
      <c r="G320" t="inlineStr">
        <is>
          <t>TANUM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60768-2023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45260</v>
      </c>
      <c r="E321" s="1" t="n">
        <v>46293</v>
      </c>
      <c r="F321" t="inlineStr">
        <is>
          <t>VÄSTRA GÖTALANDS LÄN</t>
        </is>
      </c>
      <c r="G321" t="inlineStr">
        <is>
          <t>TANUM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46183</v>
      </c>
      <c r="E322" s="1" t="n">
        <v>46293</v>
      </c>
      <c r="F322" t="inlineStr">
        <is>
          <t>VÄSTRA GÖTALANDS LÄN</t>
        </is>
      </c>
      <c r="G322" t="inlineStr">
        <is>
          <t>TANUM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45872</v>
      </c>
      <c r="E323" s="1" t="n">
        <v>46293</v>
      </c>
      <c r="F323" t="inlineStr">
        <is>
          <t>VÄSTRA GÖTALANDS LÄN</t>
        </is>
      </c>
      <c r="G323" t="inlineStr">
        <is>
          <t>TANUM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45873</v>
      </c>
      <c r="E324" s="1" t="n">
        <v>46293</v>
      </c>
      <c r="F324" t="inlineStr">
        <is>
          <t>VÄSTRA GÖTALANDS LÄN</t>
        </is>
      </c>
      <c r="G324" t="inlineStr">
        <is>
          <t>TANUM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66945-2021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44522</v>
      </c>
      <c r="E325" s="1" t="n">
        <v>46293</v>
      </c>
      <c r="F325" t="inlineStr">
        <is>
          <t>VÄSTRA GÖTALANDS LÄN</t>
        </is>
      </c>
      <c r="G325" t="inlineStr">
        <is>
          <t>TANUM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25441-2024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45463</v>
      </c>
      <c r="E326" s="1" t="n">
        <v>46293</v>
      </c>
      <c r="F326" t="inlineStr">
        <is>
          <t>VÄSTRA GÖTALANDS LÄN</t>
        </is>
      </c>
      <c r="G326" t="inlineStr">
        <is>
          <t>TANUM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36887-2025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45874</v>
      </c>
      <c r="E327" s="1" t="n">
        <v>46293</v>
      </c>
      <c r="F327" t="inlineStr">
        <is>
          <t>VÄSTRA GÖTALANDS LÄN</t>
        </is>
      </c>
      <c r="G327" t="inlineStr">
        <is>
          <t>TANUM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8584-2022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44613</v>
      </c>
      <c r="E328" s="1" t="n">
        <v>46293</v>
      </c>
      <c r="F328" t="inlineStr">
        <is>
          <t>VÄSTRA GÖTALANDS LÄN</t>
        </is>
      </c>
      <c r="G328" t="inlineStr">
        <is>
          <t>TANUM</t>
        </is>
      </c>
      <c r="I328" t="n">
        <v>10.6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41031-2023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45170</v>
      </c>
      <c r="E329" s="1" t="n">
        <v>46293</v>
      </c>
      <c r="F329" t="inlineStr">
        <is>
          <t>VÄSTRA GÖTALANDS LÄN</t>
        </is>
      </c>
      <c r="G329" t="inlineStr">
        <is>
          <t>TANUM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11142-2024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45371</v>
      </c>
      <c r="E330" s="1" t="n">
        <v>46293</v>
      </c>
      <c r="F330" t="inlineStr">
        <is>
          <t>VÄSTRA GÖTALANDS LÄN</t>
        </is>
      </c>
      <c r="G330" t="inlineStr">
        <is>
          <t>TANUM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45874</v>
      </c>
      <c r="E331" s="1" t="n">
        <v>46293</v>
      </c>
      <c r="F331" t="inlineStr">
        <is>
          <t>VÄSTRA GÖTALANDS LÄN</t>
        </is>
      </c>
      <c r="G331" t="inlineStr">
        <is>
          <t>TANUM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44591</v>
      </c>
      <c r="E332" s="1" t="n">
        <v>46293</v>
      </c>
      <c r="F332" t="inlineStr">
        <is>
          <t>VÄSTRA GÖTALANDS LÄN</t>
        </is>
      </c>
      <c r="G332" t="inlineStr">
        <is>
          <t>TANUM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64990-2021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44514</v>
      </c>
      <c r="E333" s="1" t="n">
        <v>46293</v>
      </c>
      <c r="F333" t="inlineStr">
        <is>
          <t>VÄSTRA GÖTALANDS LÄN</t>
        </is>
      </c>
      <c r="G333" t="inlineStr">
        <is>
          <t>TANUM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46190</v>
      </c>
      <c r="E334" s="1" t="n">
        <v>46293</v>
      </c>
      <c r="F334" t="inlineStr">
        <is>
          <t>VÄSTRA GÖTALANDS LÄN</t>
        </is>
      </c>
      <c r="G334" t="inlineStr">
        <is>
          <t>TANUM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45355</v>
      </c>
      <c r="E335" s="1" t="n">
        <v>46293</v>
      </c>
      <c r="F335" t="inlineStr">
        <is>
          <t>VÄSTRA GÖTALANDS LÄN</t>
        </is>
      </c>
      <c r="G335" t="inlineStr">
        <is>
          <t>TANUM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45525</v>
      </c>
      <c r="E336" s="1" t="n">
        <v>46293</v>
      </c>
      <c r="F336" t="inlineStr">
        <is>
          <t>VÄSTRA GÖTALANDS LÄN</t>
        </is>
      </c>
      <c r="G336" t="inlineStr">
        <is>
          <t>TANUM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18006-2025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45761</v>
      </c>
      <c r="E337" s="1" t="n">
        <v>46293</v>
      </c>
      <c r="F337" t="inlineStr">
        <is>
          <t>VÄSTRA GÖTALANDS LÄN</t>
        </is>
      </c>
      <c r="G337" t="inlineStr">
        <is>
          <t>TANUM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68161-2021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44526</v>
      </c>
      <c r="E338" s="1" t="n">
        <v>46293</v>
      </c>
      <c r="F338" t="inlineStr">
        <is>
          <t>VÄSTRA GÖTALANDS LÄN</t>
        </is>
      </c>
      <c r="G338" t="inlineStr">
        <is>
          <t>TANUM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22434-2024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45446</v>
      </c>
      <c r="E339" s="1" t="n">
        <v>46293</v>
      </c>
      <c r="F339" t="inlineStr">
        <is>
          <t>VÄSTRA GÖTALANDS LÄN</t>
        </is>
      </c>
      <c r="G339" t="inlineStr">
        <is>
          <t>TANUM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46293</v>
      </c>
      <c r="F340" t="inlineStr">
        <is>
          <t>VÄSTRA GÖTALANDS LÄN</t>
        </is>
      </c>
      <c r="G340" t="inlineStr">
        <is>
          <t>TANUM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49687-2024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45596</v>
      </c>
      <c r="E341" s="1" t="n">
        <v>46293</v>
      </c>
      <c r="F341" t="inlineStr">
        <is>
          <t>VÄSTRA GÖTALANDS LÄN</t>
        </is>
      </c>
      <c r="G341" t="inlineStr">
        <is>
          <t>TANUM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40048-2023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45168</v>
      </c>
      <c r="E342" s="1" t="n">
        <v>46293</v>
      </c>
      <c r="F342" t="inlineStr">
        <is>
          <t>VÄSTRA GÖTALANDS LÄN</t>
        </is>
      </c>
      <c r="G342" t="inlineStr">
        <is>
          <t>TANUM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17680-2023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45035</v>
      </c>
      <c r="E343" s="1" t="n">
        <v>46293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Kyrkan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46118-2023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45196</v>
      </c>
      <c r="E344" s="1" t="n">
        <v>46293</v>
      </c>
      <c r="F344" t="inlineStr">
        <is>
          <t>VÄSTRA GÖTALANDS LÄN</t>
        </is>
      </c>
      <c r="G344" t="inlineStr">
        <is>
          <t>TANUM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37637-2025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46293</v>
      </c>
      <c r="F345" t="inlineStr">
        <is>
          <t>VÄSTRA GÖTALANDS LÄN</t>
        </is>
      </c>
      <c r="G345" t="inlineStr">
        <is>
          <t>TANUM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28997-2026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46199</v>
      </c>
      <c r="E346" s="1" t="n">
        <v>46293</v>
      </c>
      <c r="F346" t="inlineStr">
        <is>
          <t>VÄSTRA GÖTALANDS LÄN</t>
        </is>
      </c>
      <c r="G346" t="inlineStr">
        <is>
          <t>TANUM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45880</v>
      </c>
      <c r="E347" s="1" t="n">
        <v>46293</v>
      </c>
      <c r="F347" t="inlineStr">
        <is>
          <t>VÄSTRA GÖTALANDS LÄN</t>
        </is>
      </c>
      <c r="G347" t="inlineStr">
        <is>
          <t>TANUM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46293</v>
      </c>
      <c r="F348" t="inlineStr">
        <is>
          <t>VÄSTRA GÖTALANDS LÄN</t>
        </is>
      </c>
      <c r="G348" t="inlineStr">
        <is>
          <t>TANUM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10743-2022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44627</v>
      </c>
      <c r="E349" s="1" t="n">
        <v>46293</v>
      </c>
      <c r="F349" t="inlineStr">
        <is>
          <t>VÄSTRA GÖTALANDS LÄN</t>
        </is>
      </c>
      <c r="G349" t="inlineStr">
        <is>
          <t>TANUM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73810-2021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44552</v>
      </c>
      <c r="E350" s="1" t="n">
        <v>46293</v>
      </c>
      <c r="F350" t="inlineStr">
        <is>
          <t>VÄSTRA GÖTALANDS LÄN</t>
        </is>
      </c>
      <c r="G350" t="inlineStr">
        <is>
          <t>TANUM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45321</v>
      </c>
      <c r="E351" s="1" t="n">
        <v>46293</v>
      </c>
      <c r="F351" t="inlineStr">
        <is>
          <t>VÄSTRA GÖTALANDS LÄN</t>
        </is>
      </c>
      <c r="G351" t="inlineStr">
        <is>
          <t>TANUM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7352-2022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44606</v>
      </c>
      <c r="E352" s="1" t="n">
        <v>46293</v>
      </c>
      <c r="F352" t="inlineStr">
        <is>
          <t>VÄSTRA GÖTALANDS LÄN</t>
        </is>
      </c>
      <c r="G352" t="inlineStr">
        <is>
          <t>TANUM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45673</v>
      </c>
      <c r="E353" s="1" t="n">
        <v>46293</v>
      </c>
      <c r="F353" t="inlineStr">
        <is>
          <t>VÄSTRA GÖTALANDS LÄN</t>
        </is>
      </c>
      <c r="G353" t="inlineStr">
        <is>
          <t>TANUM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20190-2022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44698</v>
      </c>
      <c r="E354" s="1" t="n">
        <v>46293</v>
      </c>
      <c r="F354" t="inlineStr">
        <is>
          <t>VÄSTRA GÖTALANDS LÄN</t>
        </is>
      </c>
      <c r="G354" t="inlineStr">
        <is>
          <t>TANUM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46204</v>
      </c>
      <c r="E355" s="1" t="n">
        <v>46293</v>
      </c>
      <c r="F355" t="inlineStr">
        <is>
          <t>VÄSTRA GÖTALANDS LÄN</t>
        </is>
      </c>
      <c r="G355" t="inlineStr">
        <is>
          <t>TANUM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29930-2023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46293</v>
      </c>
      <c r="F356" t="inlineStr">
        <is>
          <t>VÄSTRA GÖTALANDS LÄN</t>
        </is>
      </c>
      <c r="G356" t="inlineStr">
        <is>
          <t>TANUM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46209</v>
      </c>
      <c r="E357" s="1" t="n">
        <v>46293</v>
      </c>
      <c r="F357" t="inlineStr">
        <is>
          <t>VÄSTRA GÖTALANDS LÄN</t>
        </is>
      </c>
      <c r="G357" t="inlineStr">
        <is>
          <t>TANUM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46206</v>
      </c>
      <c r="E358" s="1" t="n">
        <v>46293</v>
      </c>
      <c r="F358" t="inlineStr">
        <is>
          <t>VÄSTRA GÖTALANDS LÄN</t>
        </is>
      </c>
      <c r="G358" t="inlineStr">
        <is>
          <t>TANUM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25004-2023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46293</v>
      </c>
      <c r="F359" t="inlineStr">
        <is>
          <t>VÄSTRA GÖTALANDS LÄN</t>
        </is>
      </c>
      <c r="G359" t="inlineStr">
        <is>
          <t>TANUM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30046-2026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46206</v>
      </c>
      <c r="E360" s="1" t="n">
        <v>46293</v>
      </c>
      <c r="F360" t="inlineStr">
        <is>
          <t>VÄSTRA GÖTALANDS LÄN</t>
        </is>
      </c>
      <c r="G360" t="inlineStr">
        <is>
          <t>TANUM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34101-2026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46251</v>
      </c>
      <c r="E361" s="1" t="n">
        <v>46293</v>
      </c>
      <c r="F361" t="inlineStr">
        <is>
          <t>VÄSTRA GÖTALANDS LÄN</t>
        </is>
      </c>
      <c r="G361" t="inlineStr">
        <is>
          <t>TANUM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62005-2024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45655</v>
      </c>
      <c r="E362" s="1" t="n">
        <v>46293</v>
      </c>
      <c r="F362" t="inlineStr">
        <is>
          <t>VÄSTRA GÖTALANDS LÄN</t>
        </is>
      </c>
      <c r="G362" t="inlineStr">
        <is>
          <t>TANUM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34351-2026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46254</v>
      </c>
      <c r="E363" s="1" t="n">
        <v>46293</v>
      </c>
      <c r="F363" t="inlineStr">
        <is>
          <t>VÄSTRA GÖTALANDS LÄN</t>
        </is>
      </c>
      <c r="G363" t="inlineStr">
        <is>
          <t>TANUM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34848-2026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46258</v>
      </c>
      <c r="E364" s="1" t="n">
        <v>46293</v>
      </c>
      <c r="F364" t="inlineStr">
        <is>
          <t>VÄSTRA GÖTALANDS LÄN</t>
        </is>
      </c>
      <c r="G364" t="inlineStr">
        <is>
          <t>TANUM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44894-2023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45190</v>
      </c>
      <c r="E365" s="1" t="n">
        <v>46293</v>
      </c>
      <c r="F365" t="inlineStr">
        <is>
          <t>VÄSTRA GÖTALANDS LÄN</t>
        </is>
      </c>
      <c r="G365" t="inlineStr">
        <is>
          <t>TANUM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45085</v>
      </c>
      <c r="E366" s="1" t="n">
        <v>46293</v>
      </c>
      <c r="F366" t="inlineStr">
        <is>
          <t>VÄSTRA GÖTALANDS LÄN</t>
        </is>
      </c>
      <c r="G366" t="inlineStr">
        <is>
          <t>TANUM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35074-2026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46259</v>
      </c>
      <c r="E367" s="1" t="n">
        <v>46293</v>
      </c>
      <c r="F367" t="inlineStr">
        <is>
          <t>VÄSTRA GÖTALANDS LÄN</t>
        </is>
      </c>
      <c r="G367" t="inlineStr">
        <is>
          <t>TANUM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21240-2024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45440</v>
      </c>
      <c r="E368" s="1" t="n">
        <v>46293</v>
      </c>
      <c r="F368" t="inlineStr">
        <is>
          <t>VÄSTRA GÖTALANDS LÄN</t>
        </is>
      </c>
      <c r="G368" t="inlineStr">
        <is>
          <t>TANUM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35166-2026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46260</v>
      </c>
      <c r="E369" s="1" t="n">
        <v>46293</v>
      </c>
      <c r="F369" t="inlineStr">
        <is>
          <t>VÄSTRA GÖTALANDS LÄN</t>
        </is>
      </c>
      <c r="G369" t="inlineStr">
        <is>
          <t>TANUM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35136-2026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46258</v>
      </c>
      <c r="E370" s="1" t="n">
        <v>46293</v>
      </c>
      <c r="F370" t="inlineStr">
        <is>
          <t>VÄSTRA GÖTALANDS LÄN</t>
        </is>
      </c>
      <c r="G370" t="inlineStr">
        <is>
          <t>TANUM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45649</v>
      </c>
      <c r="E371" s="1" t="n">
        <v>46293</v>
      </c>
      <c r="F371" t="inlineStr">
        <is>
          <t>VÄSTRA GÖTALANDS LÄN</t>
        </is>
      </c>
      <c r="G371" t="inlineStr">
        <is>
          <t>TANUM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45154</v>
      </c>
      <c r="E372" s="1" t="n">
        <v>46293</v>
      </c>
      <c r="F372" t="inlineStr">
        <is>
          <t>VÄSTRA GÖTALANDS LÄN</t>
        </is>
      </c>
      <c r="G372" t="inlineStr">
        <is>
          <t>TANUM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35437-2026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46262</v>
      </c>
      <c r="E373" s="1" t="n">
        <v>46293</v>
      </c>
      <c r="F373" t="inlineStr">
        <is>
          <t>VÄSTRA GÖTALANDS LÄN</t>
        </is>
      </c>
      <c r="G373" t="inlineStr">
        <is>
          <t>TANUM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16646-2025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45754</v>
      </c>
      <c r="E374" s="1" t="n">
        <v>46293</v>
      </c>
      <c r="F374" t="inlineStr">
        <is>
          <t>VÄSTRA GÖTALANDS LÄN</t>
        </is>
      </c>
      <c r="G374" t="inlineStr">
        <is>
          <t>TANUM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14269-2022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44651</v>
      </c>
      <c r="E375" s="1" t="n">
        <v>46293</v>
      </c>
      <c r="F375" t="inlineStr">
        <is>
          <t>VÄSTRA GÖTALANDS LÄN</t>
        </is>
      </c>
      <c r="G375" t="inlineStr">
        <is>
          <t>TANUM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45756</v>
      </c>
      <c r="E376" s="1" t="n">
        <v>46293</v>
      </c>
      <c r="F376" t="inlineStr">
        <is>
          <t>VÄSTRA GÖTALANDS LÄN</t>
        </is>
      </c>
      <c r="G376" t="inlineStr">
        <is>
          <t>TANUM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34331-2022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44792</v>
      </c>
      <c r="E377" s="1" t="n">
        <v>46293</v>
      </c>
      <c r="F377" t="inlineStr">
        <is>
          <t>VÄSTRA GÖTALANDS LÄN</t>
        </is>
      </c>
      <c r="G377" t="inlineStr">
        <is>
          <t>TANUM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45303</v>
      </c>
      <c r="E378" s="1" t="n">
        <v>46293</v>
      </c>
      <c r="F378" t="inlineStr">
        <is>
          <t>VÄSTRA GÖTALANDS LÄN</t>
        </is>
      </c>
      <c r="G378" t="inlineStr">
        <is>
          <t>TANUM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45303</v>
      </c>
      <c r="E379" s="1" t="n">
        <v>46293</v>
      </c>
      <c r="F379" t="inlineStr">
        <is>
          <t>VÄSTRA GÖTALANDS LÄN</t>
        </is>
      </c>
      <c r="G379" t="inlineStr">
        <is>
          <t>TANUM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45154</v>
      </c>
      <c r="E380" s="1" t="n">
        <v>46293</v>
      </c>
      <c r="F380" t="inlineStr">
        <is>
          <t>VÄSTRA GÖTALANDS LÄN</t>
        </is>
      </c>
      <c r="G380" t="inlineStr">
        <is>
          <t>TANUM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35599-2022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44799</v>
      </c>
      <c r="E381" s="1" t="n">
        <v>46293</v>
      </c>
      <c r="F381" t="inlineStr">
        <is>
          <t>VÄSTRA GÖTALANDS LÄN</t>
        </is>
      </c>
      <c r="G381" t="inlineStr">
        <is>
          <t>TANUM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26508-2022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44739</v>
      </c>
      <c r="E382" s="1" t="n">
        <v>46293</v>
      </c>
      <c r="F382" t="inlineStr">
        <is>
          <t>VÄSTRA GÖTALANDS LÄN</t>
        </is>
      </c>
      <c r="G382" t="inlineStr">
        <is>
          <t>TANUM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45293</v>
      </c>
      <c r="E383" s="1" t="n">
        <v>46293</v>
      </c>
      <c r="F383" t="inlineStr">
        <is>
          <t>VÄSTRA GÖTALANDS LÄN</t>
        </is>
      </c>
      <c r="G383" t="inlineStr">
        <is>
          <t>TANUM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36129-2026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46267</v>
      </c>
      <c r="E384" s="1" t="n">
        <v>46293</v>
      </c>
      <c r="F384" t="inlineStr">
        <is>
          <t>VÄSTRA GÖTALANDS LÄN</t>
        </is>
      </c>
      <c r="G384" t="inlineStr">
        <is>
          <t>TANUM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24116-2022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44725</v>
      </c>
      <c r="E385" s="1" t="n">
        <v>46293</v>
      </c>
      <c r="F385" t="inlineStr">
        <is>
          <t>VÄSTRA GÖTALANDS LÄN</t>
        </is>
      </c>
      <c r="G385" t="inlineStr">
        <is>
          <t>TANUM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45300</v>
      </c>
      <c r="E386" s="1" t="n">
        <v>46293</v>
      </c>
      <c r="F386" t="inlineStr">
        <is>
          <t>VÄSTRA GÖTALANDS LÄN</t>
        </is>
      </c>
      <c r="G386" t="inlineStr">
        <is>
          <t>TANUM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35720-2022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44799</v>
      </c>
      <c r="E387" s="1" t="n">
        <v>46293</v>
      </c>
      <c r="F387" t="inlineStr">
        <is>
          <t>VÄSTRA GÖTALANDS LÄN</t>
        </is>
      </c>
      <c r="G387" t="inlineStr">
        <is>
          <t>TANUM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46272</v>
      </c>
      <c r="E388" s="1" t="n">
        <v>46293</v>
      </c>
      <c r="F388" t="inlineStr">
        <is>
          <t>VÄSTRA GÖTALANDS LÄN</t>
        </is>
      </c>
      <c r="G388" t="inlineStr">
        <is>
          <t>TANUM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62676-2023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45271</v>
      </c>
      <c r="E389" s="1" t="n">
        <v>46293</v>
      </c>
      <c r="F389" t="inlineStr">
        <is>
          <t>VÄSTRA GÖTALANDS LÄN</t>
        </is>
      </c>
      <c r="G389" t="inlineStr">
        <is>
          <t>TANUM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36762-2026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46272</v>
      </c>
      <c r="E390" s="1" t="n">
        <v>46293</v>
      </c>
      <c r="F390" t="inlineStr">
        <is>
          <t>VÄSTRA GÖTALANDS LÄN</t>
        </is>
      </c>
      <c r="G390" t="inlineStr">
        <is>
          <t>TANUM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46272</v>
      </c>
      <c r="E391" s="1" t="n">
        <v>46293</v>
      </c>
      <c r="F391" t="inlineStr">
        <is>
          <t>VÄSTRA GÖTALANDS LÄN</t>
        </is>
      </c>
      <c r="G391" t="inlineStr">
        <is>
          <t>TANUM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31918-2026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46231</v>
      </c>
      <c r="E392" s="1" t="n">
        <v>46293</v>
      </c>
      <c r="F392" t="inlineStr">
        <is>
          <t>VÄSTRA GÖTALANDS LÄN</t>
        </is>
      </c>
      <c r="G392" t="inlineStr">
        <is>
          <t>TANUM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46273</v>
      </c>
      <c r="E393" s="1" t="n">
        <v>46293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31968-2026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46231</v>
      </c>
      <c r="E394" s="1" t="n">
        <v>46293</v>
      </c>
      <c r="F394" t="inlineStr">
        <is>
          <t>VÄSTRA GÖTALANDS LÄN</t>
        </is>
      </c>
      <c r="G394" t="inlineStr">
        <is>
          <t>TANUM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46273</v>
      </c>
      <c r="E395" s="1" t="n">
        <v>46293</v>
      </c>
      <c r="F395" t="inlineStr">
        <is>
          <t>VÄSTRA GÖTALANDS LÄN</t>
        </is>
      </c>
      <c r="G395" t="inlineStr">
        <is>
          <t>TANUM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15061-2023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45015</v>
      </c>
      <c r="E396" s="1" t="n">
        <v>46293</v>
      </c>
      <c r="F396" t="inlineStr">
        <is>
          <t>VÄSTRA GÖTALANDS LÄN</t>
        </is>
      </c>
      <c r="G396" t="inlineStr">
        <is>
          <t>TANUM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45309</v>
      </c>
      <c r="E397" s="1" t="n">
        <v>46293</v>
      </c>
      <c r="F397" t="inlineStr">
        <is>
          <t>VÄSTRA GÖTALANDS LÄN</t>
        </is>
      </c>
      <c r="G397" t="inlineStr">
        <is>
          <t>TANUM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45030</v>
      </c>
      <c r="E398" s="1" t="n">
        <v>46293</v>
      </c>
      <c r="F398" t="inlineStr">
        <is>
          <t>VÄSTRA GÖTALANDS LÄN</t>
        </is>
      </c>
      <c r="G398" t="inlineStr">
        <is>
          <t>TANUM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37608-2026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46276</v>
      </c>
      <c r="E399" s="1" t="n">
        <v>46293</v>
      </c>
      <c r="F399" t="inlineStr">
        <is>
          <t>VÄSTRA GÖTALANDS LÄN</t>
        </is>
      </c>
      <c r="G399" t="inlineStr">
        <is>
          <t>TANUM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63173-2023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45273</v>
      </c>
      <c r="E400" s="1" t="n">
        <v>46293</v>
      </c>
      <c r="F400" t="inlineStr">
        <is>
          <t>VÄSTRA GÖTALANDS LÄN</t>
        </is>
      </c>
      <c r="G400" t="inlineStr">
        <is>
          <t>TANUM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62516-2023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45267</v>
      </c>
      <c r="E401" s="1" t="n">
        <v>46293</v>
      </c>
      <c r="F401" t="inlineStr">
        <is>
          <t>VÄSTRA GÖTALANDS LÄN</t>
        </is>
      </c>
      <c r="G401" t="inlineStr">
        <is>
          <t>TANUM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46276</v>
      </c>
      <c r="E402" s="1" t="n">
        <v>46293</v>
      </c>
      <c r="F402" t="inlineStr">
        <is>
          <t>VÄSTRA GÖTALANDS LÄN</t>
        </is>
      </c>
      <c r="G402" t="inlineStr">
        <is>
          <t>TANUM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60624-2021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44496</v>
      </c>
      <c r="E403" s="1" t="n">
        <v>46293</v>
      </c>
      <c r="F403" t="inlineStr">
        <is>
          <t>VÄSTRA GÖTALANDS LÄN</t>
        </is>
      </c>
      <c r="G403" t="inlineStr">
        <is>
          <t>TANUM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45278</v>
      </c>
      <c r="E404" s="1" t="n">
        <v>46293</v>
      </c>
      <c r="F404" t="inlineStr">
        <is>
          <t>VÄSTRA GÖTALANDS LÄN</t>
        </is>
      </c>
      <c r="G404" t="inlineStr">
        <is>
          <t>TANUM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28795-2023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45104</v>
      </c>
      <c r="E405" s="1" t="n">
        <v>46293</v>
      </c>
      <c r="F405" t="inlineStr">
        <is>
          <t>VÄSTRA GÖTALANDS LÄN</t>
        </is>
      </c>
      <c r="G405" t="inlineStr">
        <is>
          <t>TANUM</t>
        </is>
      </c>
      <c r="H405" t="inlineStr">
        <is>
          <t>Naturvårdsverket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45628</v>
      </c>
      <c r="E406" s="1" t="n">
        <v>46293</v>
      </c>
      <c r="F406" t="inlineStr">
        <is>
          <t>VÄSTRA GÖTALANDS LÄN</t>
        </is>
      </c>
      <c r="G406" t="inlineStr">
        <is>
          <t>TANUM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61715-2023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45265</v>
      </c>
      <c r="E407" s="1" t="n">
        <v>46293</v>
      </c>
      <c r="F407" t="inlineStr">
        <is>
          <t>VÄSTRA GÖTALANDS LÄN</t>
        </is>
      </c>
      <c r="G407" t="inlineStr">
        <is>
          <t>TANUM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8474-2024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45355</v>
      </c>
      <c r="E408" s="1" t="n">
        <v>46293</v>
      </c>
      <c r="F408" t="inlineStr">
        <is>
          <t>VÄSTRA GÖTALANDS LÄN</t>
        </is>
      </c>
      <c r="G408" t="inlineStr">
        <is>
          <t>TANUM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43242-2022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44834</v>
      </c>
      <c r="E409" s="1" t="n">
        <v>46293</v>
      </c>
      <c r="F409" t="inlineStr">
        <is>
          <t>VÄSTRA GÖTALANDS LÄN</t>
        </is>
      </c>
      <c r="G409" t="inlineStr">
        <is>
          <t>TANUM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45303</v>
      </c>
      <c r="E410" s="1" t="n">
        <v>46293</v>
      </c>
      <c r="F410" t="inlineStr">
        <is>
          <t>VÄSTRA GÖTALANDS LÄN</t>
        </is>
      </c>
      <c r="G410" t="inlineStr">
        <is>
          <t>TANUM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57684-2022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44897</v>
      </c>
      <c r="E411" s="1" t="n">
        <v>46293</v>
      </c>
      <c r="F411" t="inlineStr">
        <is>
          <t>VÄSTRA GÖTALANDS LÄN</t>
        </is>
      </c>
      <c r="G411" t="inlineStr">
        <is>
          <t>TANUM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46273</v>
      </c>
      <c r="E412" s="1" t="n">
        <v>46293</v>
      </c>
      <c r="F412" t="inlineStr">
        <is>
          <t>VÄSTRA GÖTALANDS LÄN</t>
        </is>
      </c>
      <c r="G412" t="inlineStr">
        <is>
          <t>TANUM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44585</v>
      </c>
      <c r="E413" s="1" t="n">
        <v>46293</v>
      </c>
      <c r="F413" t="inlineStr">
        <is>
          <t>VÄSTRA GÖTALANDS LÄN</t>
        </is>
      </c>
      <c r="G413" t="inlineStr">
        <is>
          <t>TANUM</t>
        </is>
      </c>
      <c r="I413" t="n">
        <v>8.5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32617-2026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46240</v>
      </c>
      <c r="E414" s="1" t="n">
        <v>46293</v>
      </c>
      <c r="F414" t="inlineStr">
        <is>
          <t>VÄSTRA GÖTALANDS LÄN</t>
        </is>
      </c>
      <c r="G414" t="inlineStr">
        <is>
          <t>TANUM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59821-2022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44908</v>
      </c>
      <c r="E415" s="1" t="n">
        <v>46293</v>
      </c>
      <c r="F415" t="inlineStr">
        <is>
          <t>VÄSTRA GÖTALANDS LÄN</t>
        </is>
      </c>
      <c r="G415" t="inlineStr">
        <is>
          <t>TANUM</t>
        </is>
      </c>
      <c r="I415" t="n">
        <v>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1440-2022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44573</v>
      </c>
      <c r="E416" s="1" t="n">
        <v>46293</v>
      </c>
      <c r="F416" t="inlineStr">
        <is>
          <t>VÄSTRA GÖTALANDS LÄN</t>
        </is>
      </c>
      <c r="G416" t="inlineStr">
        <is>
          <t>TANUM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32744-2026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46241</v>
      </c>
      <c r="E417" s="1" t="n">
        <v>46293</v>
      </c>
      <c r="F417" t="inlineStr">
        <is>
          <t>VÄSTRA GÖTALANDS LÄN</t>
        </is>
      </c>
      <c r="G417" t="inlineStr">
        <is>
          <t>TANUM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60911-2023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45261</v>
      </c>
      <c r="E418" s="1" t="n">
        <v>46293</v>
      </c>
      <c r="F418" t="inlineStr">
        <is>
          <t>VÄSTRA GÖTALANDS LÄN</t>
        </is>
      </c>
      <c r="G418" t="inlineStr">
        <is>
          <t>TANUM</t>
        </is>
      </c>
      <c r="I418" t="n">
        <v>11.3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43594-2023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45184</v>
      </c>
      <c r="E419" s="1" t="n">
        <v>46293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39206-2026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46286</v>
      </c>
      <c r="E420" s="1" t="n">
        <v>46293</v>
      </c>
      <c r="F420" t="inlineStr">
        <is>
          <t>VÄSTRA GÖTALANDS LÄN</t>
        </is>
      </c>
      <c r="G420" t="inlineStr">
        <is>
          <t>TANUM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39137-2026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46286</v>
      </c>
      <c r="E421" s="1" t="n">
        <v>46293</v>
      </c>
      <c r="F421" t="inlineStr">
        <is>
          <t>VÄSTRA GÖTALANDS LÄN</t>
        </is>
      </c>
      <c r="G421" t="inlineStr">
        <is>
          <t>TANUM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39139-2026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46286</v>
      </c>
      <c r="E422" s="1" t="n">
        <v>46293</v>
      </c>
      <c r="F422" t="inlineStr">
        <is>
          <t>VÄSTRA GÖTALANDS LÄN</t>
        </is>
      </c>
      <c r="G422" t="inlineStr">
        <is>
          <t>TANUM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37099-2023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45155</v>
      </c>
      <c r="E423" s="1" t="n">
        <v>46293</v>
      </c>
      <c r="F423" t="inlineStr">
        <is>
          <t>VÄSTRA GÖTALANDS LÄN</t>
        </is>
      </c>
      <c r="G423" t="inlineStr">
        <is>
          <t>TANUM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39059-2026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46287</v>
      </c>
      <c r="E424" s="1" t="n">
        <v>46293</v>
      </c>
      <c r="F424" t="inlineStr">
        <is>
          <t>VÄSTRA GÖTALANDS LÄN</t>
        </is>
      </c>
      <c r="G424" t="inlineStr">
        <is>
          <t>TANUM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50941-2022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44867</v>
      </c>
      <c r="E425" s="1" t="n">
        <v>46293</v>
      </c>
      <c r="F425" t="inlineStr">
        <is>
          <t>VÄSTRA GÖTALANDS LÄN</t>
        </is>
      </c>
      <c r="G425" t="inlineStr">
        <is>
          <t>TANUM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11145-2024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45371</v>
      </c>
      <c r="E426" s="1" t="n">
        <v>46293</v>
      </c>
      <c r="F426" t="inlineStr">
        <is>
          <t>VÄSTRA GÖTALANDS LÄN</t>
        </is>
      </c>
      <c r="G426" t="inlineStr">
        <is>
          <t>TANUM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7900-2024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45350</v>
      </c>
      <c r="E427" s="1" t="n">
        <v>46293</v>
      </c>
      <c r="F427" t="inlineStr">
        <is>
          <t>VÄSTRA GÖTALANDS LÄN</t>
        </is>
      </c>
      <c r="G427" t="inlineStr">
        <is>
          <t>TANUM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70979-2021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44538</v>
      </c>
      <c r="E428" s="1" t="n">
        <v>46293</v>
      </c>
      <c r="F428" t="inlineStr">
        <is>
          <t>VÄSTRA GÖTALANDS LÄN</t>
        </is>
      </c>
      <c r="G428" t="inlineStr">
        <is>
          <t>TANUM</t>
        </is>
      </c>
      <c r="I428" t="n">
        <v>19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33400-2026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46247</v>
      </c>
      <c r="E429" s="1" t="n">
        <v>46293</v>
      </c>
      <c r="F429" t="inlineStr">
        <is>
          <t>VÄSTRA GÖTALANDS LÄN</t>
        </is>
      </c>
      <c r="G429" t="inlineStr">
        <is>
          <t>TANUM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13044-2023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45002</v>
      </c>
      <c r="E430" s="1" t="n">
        <v>46293</v>
      </c>
      <c r="F430" t="inlineStr">
        <is>
          <t>VÄSTRA GÖTALANDS LÄN</t>
        </is>
      </c>
      <c r="G430" t="inlineStr">
        <is>
          <t>TANUM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64997-2023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45286</v>
      </c>
      <c r="E431" s="1" t="n">
        <v>46293</v>
      </c>
      <c r="F431" t="inlineStr">
        <is>
          <t>VÄSTRA GÖTALANDS LÄN</t>
        </is>
      </c>
      <c r="G431" t="inlineStr">
        <is>
          <t>TANUM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37977-2024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45544</v>
      </c>
      <c r="E432" s="1" t="n">
        <v>46293</v>
      </c>
      <c r="F432" t="inlineStr">
        <is>
          <t>VÄSTRA GÖTALANDS LÄN</t>
        </is>
      </c>
      <c r="G432" t="inlineStr">
        <is>
          <t>TANUM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17471-2023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45036</v>
      </c>
      <c r="E433" s="1" t="n">
        <v>46293</v>
      </c>
      <c r="F433" t="inlineStr">
        <is>
          <t>VÄSTRA GÖTALANDS LÄN</t>
        </is>
      </c>
      <c r="G433" t="inlineStr">
        <is>
          <t>TANUM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10896-2025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45722</v>
      </c>
      <c r="E434" s="1" t="n">
        <v>46293</v>
      </c>
      <c r="F434" t="inlineStr">
        <is>
          <t>VÄSTRA GÖTALANDS LÄN</t>
        </is>
      </c>
      <c r="G434" t="inlineStr">
        <is>
          <t>TANUM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13432-2024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45387</v>
      </c>
      <c r="E435" s="1" t="n">
        <v>46293</v>
      </c>
      <c r="F435" t="inlineStr">
        <is>
          <t>VÄSTRA GÖTALANDS LÄN</t>
        </is>
      </c>
      <c r="G435" t="inlineStr">
        <is>
          <t>TANUM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2706-2023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44944</v>
      </c>
      <c r="E436" s="1" t="n">
        <v>46293</v>
      </c>
      <c r="F436" t="inlineStr">
        <is>
          <t>VÄSTRA GÖTALANDS LÄN</t>
        </is>
      </c>
      <c r="G436" t="inlineStr">
        <is>
          <t>TANUM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45153</v>
      </c>
      <c r="E437" s="1" t="n">
        <v>46293</v>
      </c>
      <c r="F437" t="inlineStr">
        <is>
          <t>VÄSTRA GÖTALANDS LÄN</t>
        </is>
      </c>
      <c r="G437" t="inlineStr">
        <is>
          <t>TANUM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45311</v>
      </c>
      <c r="E438" s="1" t="n">
        <v>46293</v>
      </c>
      <c r="F438" t="inlineStr">
        <is>
          <t>VÄSTRA GÖTALANDS LÄN</t>
        </is>
      </c>
      <c r="G438" t="inlineStr">
        <is>
          <t>TANUM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50183-2024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45599</v>
      </c>
      <c r="E439" s="1" t="n">
        <v>46293</v>
      </c>
      <c r="F439" t="inlineStr">
        <is>
          <t>VÄSTRA GÖTALANDS LÄN</t>
        </is>
      </c>
      <c r="G439" t="inlineStr">
        <is>
          <t>TANUM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5392-2025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45692</v>
      </c>
      <c r="E440" s="1" t="n">
        <v>46293</v>
      </c>
      <c r="F440" t="inlineStr">
        <is>
          <t>VÄSTRA GÖTALANDS LÄN</t>
        </is>
      </c>
      <c r="G440" t="inlineStr">
        <is>
          <t>TANUM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38500-2023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45162</v>
      </c>
      <c r="E441" s="1" t="n">
        <v>46293</v>
      </c>
      <c r="F441" t="inlineStr">
        <is>
          <t>VÄSTRA GÖTALANDS LÄN</t>
        </is>
      </c>
      <c r="G441" t="inlineStr">
        <is>
          <t>TANUM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32757-2024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45516</v>
      </c>
      <c r="E442" s="1" t="n">
        <v>46293</v>
      </c>
      <c r="F442" t="inlineStr">
        <is>
          <t>VÄSTRA GÖTALANDS LÄN</t>
        </is>
      </c>
      <c r="G442" t="inlineStr">
        <is>
          <t>TANUM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17515-2024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45415</v>
      </c>
      <c r="E443" s="1" t="n">
        <v>46293</v>
      </c>
      <c r="F443" t="inlineStr">
        <is>
          <t>VÄSTRA GÖTALANDS LÄN</t>
        </is>
      </c>
      <c r="G443" t="inlineStr">
        <is>
          <t>TANUM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56379-2022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44890</v>
      </c>
      <c r="E444" s="1" t="n">
        <v>46293</v>
      </c>
      <c r="F444" t="inlineStr">
        <is>
          <t>VÄSTRA GÖTALANDS LÄN</t>
        </is>
      </c>
      <c r="G444" t="inlineStr">
        <is>
          <t>TANUM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57889-2022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44900</v>
      </c>
      <c r="E445" s="1" t="n">
        <v>46293</v>
      </c>
      <c r="F445" t="inlineStr">
        <is>
          <t>VÄSTRA GÖTALANDS LÄN</t>
        </is>
      </c>
      <c r="G445" t="inlineStr">
        <is>
          <t>TANUM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16644-2025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45754</v>
      </c>
      <c r="E446" s="1" t="n">
        <v>46293</v>
      </c>
      <c r="F446" t="inlineStr">
        <is>
          <t>VÄSTRA GÖTALANDS LÄN</t>
        </is>
      </c>
      <c r="G446" t="inlineStr">
        <is>
          <t>TANUM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30495-2023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45102</v>
      </c>
      <c r="E447" s="1" t="n">
        <v>46293</v>
      </c>
      <c r="F447" t="inlineStr">
        <is>
          <t>VÄSTRA GÖTALANDS LÄN</t>
        </is>
      </c>
      <c r="G447" t="inlineStr">
        <is>
          <t>TANUM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48987-2023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45209</v>
      </c>
      <c r="E448" s="1" t="n">
        <v>46293</v>
      </c>
      <c r="F448" t="inlineStr">
        <is>
          <t>VÄSTRA GÖTALANDS LÄN</t>
        </is>
      </c>
      <c r="G448" t="inlineStr">
        <is>
          <t>TANUM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8600-2024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45355</v>
      </c>
      <c r="E449" s="1" t="n">
        <v>46293</v>
      </c>
      <c r="F449" t="inlineStr">
        <is>
          <t>VÄSTRA GÖTALANDS LÄN</t>
        </is>
      </c>
      <c r="G449" t="inlineStr">
        <is>
          <t>TANUM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45659</v>
      </c>
      <c r="E450" s="1" t="n">
        <v>46293</v>
      </c>
      <c r="F450" t="inlineStr">
        <is>
          <t>VÄSTRA GÖTALANDS LÄN</t>
        </is>
      </c>
      <c r="G450" t="inlineStr">
        <is>
          <t>TANUM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58661-2024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45635</v>
      </c>
      <c r="E451" s="1" t="n">
        <v>46293</v>
      </c>
      <c r="F451" t="inlineStr">
        <is>
          <t>VÄSTRA GÖTALANDS LÄN</t>
        </is>
      </c>
      <c r="G451" t="inlineStr">
        <is>
          <t>TANUM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45239</v>
      </c>
      <c r="E452" s="1" t="n">
        <v>46293</v>
      </c>
      <c r="F452" t="inlineStr">
        <is>
          <t>VÄSTRA GÖTALANDS LÄN</t>
        </is>
      </c>
      <c r="G452" t="inlineStr">
        <is>
          <t>TANUM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41297-2023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45174</v>
      </c>
      <c r="E453" s="1" t="n">
        <v>46293</v>
      </c>
      <c r="F453" t="inlineStr">
        <is>
          <t>VÄSTRA GÖTALANDS LÄN</t>
        </is>
      </c>
      <c r="G453" t="inlineStr">
        <is>
          <t>TANUM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45075</v>
      </c>
      <c r="E454" s="1" t="n">
        <v>46293</v>
      </c>
      <c r="F454" t="inlineStr">
        <is>
          <t>VÄSTRA GÖTALANDS LÄN</t>
        </is>
      </c>
      <c r="G454" t="inlineStr">
        <is>
          <t>TANUM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41067-2023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45170</v>
      </c>
      <c r="E455" s="1" t="n">
        <v>46293</v>
      </c>
      <c r="F455" t="inlineStr">
        <is>
          <t>VÄSTRA GÖTALANDS LÄN</t>
        </is>
      </c>
      <c r="G455" t="inlineStr">
        <is>
          <t>TANUM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46241-2023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45196</v>
      </c>
      <c r="E456" s="1" t="n">
        <v>46293</v>
      </c>
      <c r="F456" t="inlineStr">
        <is>
          <t>VÄSTRA GÖTALANDS LÄN</t>
        </is>
      </c>
      <c r="G456" t="inlineStr">
        <is>
          <t>TANUM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45273</v>
      </c>
      <c r="E457" s="1" t="n">
        <v>46293</v>
      </c>
      <c r="F457" t="inlineStr">
        <is>
          <t>VÄSTRA GÖTALANDS LÄN</t>
        </is>
      </c>
      <c r="G457" t="inlineStr">
        <is>
          <t>TANUM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45334</v>
      </c>
      <c r="E458" s="1" t="n">
        <v>46293</v>
      </c>
      <c r="F458" t="inlineStr">
        <is>
          <t>VÄSTRA GÖTALANDS LÄN</t>
        </is>
      </c>
      <c r="G458" t="inlineStr">
        <is>
          <t>TANUM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16471-2023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45026</v>
      </c>
      <c r="E459" s="1" t="n">
        <v>46293</v>
      </c>
      <c r="F459" t="inlineStr">
        <is>
          <t>VÄSTRA GÖTALANDS LÄN</t>
        </is>
      </c>
      <c r="G459" t="inlineStr">
        <is>
          <t>TANUM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11945-2025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45728</v>
      </c>
      <c r="E460" s="1" t="n">
        <v>46293</v>
      </c>
      <c r="F460" t="inlineStr">
        <is>
          <t>VÄSTRA GÖTALANDS LÄN</t>
        </is>
      </c>
      <c r="G460" t="inlineStr">
        <is>
          <t>TANUM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63175-2023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45273</v>
      </c>
      <c r="E461" s="1" t="n">
        <v>46293</v>
      </c>
      <c r="F461" t="inlineStr">
        <is>
          <t>VÄSTRA GÖTALANDS LÄN</t>
        </is>
      </c>
      <c r="G461" t="inlineStr">
        <is>
          <t>TANUM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55022-2023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45237</v>
      </c>
      <c r="E462" s="1" t="n">
        <v>46293</v>
      </c>
      <c r="F462" t="inlineStr">
        <is>
          <t>VÄSTRA GÖTALANDS LÄN</t>
        </is>
      </c>
      <c r="G462" t="inlineStr">
        <is>
          <t>TANUM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45747</v>
      </c>
      <c r="E463" s="1" t="n">
        <v>46293</v>
      </c>
      <c r="F463" t="inlineStr">
        <is>
          <t>VÄSTRA GÖTALANDS LÄN</t>
        </is>
      </c>
      <c r="G463" t="inlineStr">
        <is>
          <t>TANUM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23696-2024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45454</v>
      </c>
      <c r="E464" s="1" t="n">
        <v>46293</v>
      </c>
      <c r="F464" t="inlineStr">
        <is>
          <t>VÄSTRA GÖTALANDS LÄN</t>
        </is>
      </c>
      <c r="G464" t="inlineStr">
        <is>
          <t>TANUM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32775-2024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45515</v>
      </c>
      <c r="E465" s="1" t="n">
        <v>46293</v>
      </c>
      <c r="F465" t="inlineStr">
        <is>
          <t>VÄSTRA GÖTALANDS LÄN</t>
        </is>
      </c>
      <c r="G465" t="inlineStr">
        <is>
          <t>TANUM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51083-2024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45603</v>
      </c>
      <c r="E466" s="1" t="n">
        <v>46293</v>
      </c>
      <c r="F466" t="inlineStr">
        <is>
          <t>VÄSTRA GÖTALANDS LÄN</t>
        </is>
      </c>
      <c r="G466" t="inlineStr">
        <is>
          <t>TANUM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44889-2022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44841</v>
      </c>
      <c r="E467" s="1" t="n">
        <v>46293</v>
      </c>
      <c r="F467" t="inlineStr">
        <is>
          <t>VÄSTRA GÖTALANDS LÄN</t>
        </is>
      </c>
      <c r="G467" t="inlineStr">
        <is>
          <t>TANUM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45748</v>
      </c>
      <c r="E468" s="1" t="n">
        <v>46293</v>
      </c>
      <c r="F468" t="inlineStr">
        <is>
          <t>VÄSTRA GÖTALANDS LÄN</t>
        </is>
      </c>
      <c r="G468" t="inlineStr">
        <is>
          <t>TANUM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23609-2023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45072</v>
      </c>
      <c r="E469" s="1" t="n">
        <v>46293</v>
      </c>
      <c r="F469" t="inlineStr">
        <is>
          <t>VÄSTRA GÖTALANDS LÄN</t>
        </is>
      </c>
      <c r="G469" t="inlineStr">
        <is>
          <t>TANUM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22666-2025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45789</v>
      </c>
      <c r="E470" s="1" t="n">
        <v>46293</v>
      </c>
      <c r="F470" t="inlineStr">
        <is>
          <t>VÄSTRA GÖTALANDS LÄN</t>
        </is>
      </c>
      <c r="G470" t="inlineStr">
        <is>
          <t>TANUM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45791</v>
      </c>
      <c r="E471" s="1" t="n">
        <v>46293</v>
      </c>
      <c r="F471" t="inlineStr">
        <is>
          <t>VÄSTRA GÖTALANDS LÄN</t>
        </is>
      </c>
      <c r="G471" t="inlineStr">
        <is>
          <t>TANUM</t>
        </is>
      </c>
      <c r="I471" t="n">
        <v>12.2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45743</v>
      </c>
      <c r="E472" s="1" t="n">
        <v>46293</v>
      </c>
      <c r="F472" t="inlineStr">
        <is>
          <t>VÄSTRA GÖTALANDS LÄN</t>
        </is>
      </c>
      <c r="G472" t="inlineStr">
        <is>
          <t>TANUM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13832-2025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45737</v>
      </c>
      <c r="E473" s="1" t="n">
        <v>46293</v>
      </c>
      <c r="F473" t="inlineStr">
        <is>
          <t>VÄSTRA GÖTALANDS LÄN</t>
        </is>
      </c>
      <c r="G473" t="inlineStr">
        <is>
          <t>TANUM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45737</v>
      </c>
      <c r="E474" s="1" t="n">
        <v>46293</v>
      </c>
      <c r="F474" t="inlineStr">
        <is>
          <t>VÄSTRA GÖTALANDS LÄN</t>
        </is>
      </c>
      <c r="G474" t="inlineStr">
        <is>
          <t>TANUM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45726</v>
      </c>
      <c r="E475" s="1" t="n">
        <v>46293</v>
      </c>
      <c r="F475" t="inlineStr">
        <is>
          <t>VÄSTRA GÖTALANDS LÄN</t>
        </is>
      </c>
      <c r="G475" t="inlineStr">
        <is>
          <t>TANUM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422-2022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44586</v>
      </c>
      <c r="E476" s="1" t="n">
        <v>46293</v>
      </c>
      <c r="F476" t="inlineStr">
        <is>
          <t>VÄSTRA GÖTALANDS LÄN</t>
        </is>
      </c>
      <c r="G476" t="inlineStr">
        <is>
          <t>TANUM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1468-2022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44636</v>
      </c>
      <c r="E477" s="1" t="n">
        <v>46293</v>
      </c>
      <c r="F477" t="inlineStr">
        <is>
          <t>VÄSTRA GÖTALANDS LÄN</t>
        </is>
      </c>
      <c r="G477" t="inlineStr">
        <is>
          <t>TANUM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714-2024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45362</v>
      </c>
      <c r="E478" s="1" t="n">
        <v>46293</v>
      </c>
      <c r="F478" t="inlineStr">
        <is>
          <t>VÄSTRA GÖTALANDS LÄN</t>
        </is>
      </c>
      <c r="G478" t="inlineStr">
        <is>
          <t>TANUM</t>
        </is>
      </c>
      <c r="I478" t="n">
        <v>35.7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9009-2021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44509</v>
      </c>
      <c r="E479" s="1" t="n">
        <v>46293</v>
      </c>
      <c r="F479" t="inlineStr">
        <is>
          <t>VÄSTRA GÖTALANDS LÄN</t>
        </is>
      </c>
      <c r="G479" t="inlineStr">
        <is>
          <t>TANUM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3471-2023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45204</v>
      </c>
      <c r="E480" s="1" t="n">
        <v>46293</v>
      </c>
      <c r="F480" t="inlineStr">
        <is>
          <t>VÄSTRA GÖTALANDS LÄN</t>
        </is>
      </c>
      <c r="G480" t="inlineStr">
        <is>
          <t>TANUM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1128-2026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46133</v>
      </c>
      <c r="E481" s="1" t="n">
        <v>46293</v>
      </c>
      <c r="F481" t="inlineStr">
        <is>
          <t>VÄSTRA GÖTALANDS LÄN</t>
        </is>
      </c>
      <c r="G481" t="inlineStr">
        <is>
          <t>TANUM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2026-09-28T02:00:52Z</dcterms:created>
  <dcterms:modified xmlns:dcterms="http://purl.org/dc/terms/" xmlns:xsi="http://www.w3.org/2001/XMLSchema-instance" xsi:type="dcterms:W3CDTF">2026-09-28T02:00:52Z</dcterms:modified>
</cp:coreProperties>
</file>