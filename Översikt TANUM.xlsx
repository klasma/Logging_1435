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35310-2024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45530</v>
      </c>
      <c r="E3" s="1" t="n">
        <v>46319</v>
      </c>
      <c r="F3" t="inlineStr">
        <is>
          <t>VÄSTRA GÖTALANDS LÄN</t>
        </is>
      </c>
      <c r="G3" t="inlineStr">
        <is>
          <t>TANUM</t>
        </is>
      </c>
      <c r="I3" t="n">
        <v>2.1</v>
      </c>
      <c r="J3" t="n">
        <v>5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26</v>
      </c>
      <c r="U3" t="n">
        <v>24</v>
      </c>
      <c r="V3" s="2" t="inlineStr">
        <is>
          <t>Knärot
Talltita
Tretåig hackspett
Blåmossa
Bronshjon
Korallblylav
Rävticka
Stor revmossa
Vågbandad barkbock
Spillkråka
Tjäder</t>
        </is>
      </c>
      <c r="W3">
        <f>HYPERLINK("https://klasma.github.io/Logging_1435/artfynd/A 35310-2024 artfynd.xlsx", "A 35310-2024")</f>
        <v/>
      </c>
      <c r="X3">
        <f>HYPERLINK("https://klasma.github.io/Logging_1435/kartor/A 35310-2024 karta.png", "A 35310-2024")</f>
        <v/>
      </c>
      <c r="Y3">
        <f>HYPERLINK("https://klasma.github.io/Logging_1435/kartor_geotiff/A 35310-2024 georefererad karta.tif", "A 35310-2024")</f>
        <v/>
      </c>
      <c r="Z3">
        <f>HYPERLINK("https://klasma.github.io/Logging_1435/knärot/A 35310-2024 karta knärot.png", "A 35310-2024")</f>
        <v/>
      </c>
      <c r="AA3">
        <f>HYPERLINK("https://klasma.github.io/Logging_1435/klagomål/A 35310-2024 FSC-klagomål.docx", "A 35310-2024")</f>
        <v/>
      </c>
      <c r="AB3">
        <f>HYPERLINK("https://klasma.github.io/Logging_1435/klagomålsmail/A 35310-2024 FSC-klagomål mail.docx", "A 35310-2024")</f>
        <v/>
      </c>
      <c r="AC3">
        <f>HYPERLINK("https://klasma.github.io/Logging_1435/tillsyn/A 35310-2024 tillsynsbegäran.docx", "A 35310-2024")</f>
        <v/>
      </c>
      <c r="AD3">
        <f>HYPERLINK("https://klasma.github.io/Logging_1435/tillsynsmail/A 35310-2024 tillsynsbegäran mail.docx", "A 35310-2024")</f>
        <v/>
      </c>
      <c r="AE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46319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46319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46319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46319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33558-2026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46319</v>
      </c>
      <c r="F8" t="inlineStr">
        <is>
          <t>VÄSTRA GÖTALANDS LÄN</t>
        </is>
      </c>
      <c r="G8" t="inlineStr">
        <is>
          <t>TANUM</t>
        </is>
      </c>
      <c r="I8" t="n">
        <v>6.7</v>
      </c>
      <c r="J8" t="n">
        <v>4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15</v>
      </c>
      <c r="U8" t="n">
        <v>15</v>
      </c>
      <c r="V8" s="2" t="inlineStr">
        <is>
          <t>Kattfotslav
Barkticka
Rävticka
Thomsons trägnagare
Spillkråka
Vattenfladdermus
Vanlig padda
Revlummer</t>
        </is>
      </c>
      <c r="W8">
        <f>HYPERLINK("https://klasma.github.io/Logging_1435/artfynd/A 33558-2026 artfynd.xlsx", "A 33558-2026")</f>
        <v/>
      </c>
      <c r="X8">
        <f>HYPERLINK("https://klasma.github.io/Logging_1435/kartor/A 33558-2026 karta.png", "A 33558-2026")</f>
        <v/>
      </c>
      <c r="Y8">
        <f>HYPERLINK("https://klasma.github.io/Logging_1435/kartor_geotiff/A 33558-2026 georefererad karta.tif", "A 33558-2026")</f>
        <v/>
      </c>
      <c r="AA8">
        <f>HYPERLINK("https://klasma.github.io/Logging_1435/klagomål/A 33558-2026 FSC-klagomål.docx", "A 33558-2026")</f>
        <v/>
      </c>
      <c r="AB8">
        <f>HYPERLINK("https://klasma.github.io/Logging_1435/klagomålsmail/A 33558-2026 FSC-klagomål mail.docx", "A 33558-2026")</f>
        <v/>
      </c>
      <c r="AC8">
        <f>HYPERLINK("https://klasma.github.io/Logging_1435/tillsyn/A 33558-2026 tillsynsbegäran.docx", "A 33558-2026")</f>
        <v/>
      </c>
      <c r="AD8">
        <f>HYPERLINK("https://klasma.github.io/Logging_1435/tillsynsmail/A 33558-2026 tillsynsbegäran mail.docx", "A 33558-2026")</f>
        <v/>
      </c>
      <c r="AE8">
        <f>HYPERLINK("https://klasma.github.io/Logging_1435/fåglar/A 33558-2026 prioriterade fågelarter.docx", "A 33558-2026")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46319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46319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46319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46319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46319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46319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46319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46319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46319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46319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46319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36154-2024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46319</v>
      </c>
      <c r="F24" t="inlineStr">
        <is>
          <t>VÄSTRA GÖTALANDS LÄN</t>
        </is>
      </c>
      <c r="G24" t="inlineStr">
        <is>
          <t>TANUM</t>
        </is>
      </c>
      <c r="I24" t="n">
        <v>1.8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Tretåig hackspett
Rävticka</t>
        </is>
      </c>
      <c r="W24">
        <f>HYPERLINK("https://klasma.github.io/Logging_1435/artfynd/A 36154-2024 artfynd.xlsx", "A 36154-2024")</f>
        <v/>
      </c>
      <c r="X24">
        <f>HYPERLINK("https://klasma.github.io/Logging_1435/kartor/A 36154-2024 karta.png", "A 36154-2024")</f>
        <v/>
      </c>
      <c r="Y24">
        <f>HYPERLINK("https://klasma.github.io/Logging_1435/kartor_geotiff/A 36154-2024 georefererad karta.tif", "A 36154-2024")</f>
        <v/>
      </c>
      <c r="AA24">
        <f>HYPERLINK("https://klasma.github.io/Logging_1435/klagomål/A 36154-2024 FSC-klagomål.docx", "A 36154-2024")</f>
        <v/>
      </c>
      <c r="AB24">
        <f>HYPERLINK("https://klasma.github.io/Logging_1435/klagomålsmail/A 36154-2024 FSC-klagomål mail.docx", "A 36154-2024")</f>
        <v/>
      </c>
      <c r="AC24">
        <f>HYPERLINK("https://klasma.github.io/Logging_1435/tillsyn/A 36154-2024 tillsynsbegäran.docx", "A 36154-2024")</f>
        <v/>
      </c>
      <c r="AD24">
        <f>HYPERLINK("https://klasma.github.io/Logging_1435/tillsynsmail/A 36154-2024 tillsynsbegäran mail.docx", "A 36154-2024")</f>
        <v/>
      </c>
      <c r="AE24">
        <f>HYPERLINK("https://klasma.github.io/Logging_1435/fåglar/A 36154-2024 prioriterade fågelarter.docx", "A 36154-2024")</f>
        <v/>
      </c>
    </row>
    <row r="25" ht="15" customHeight="1">
      <c r="A25" t="inlineStr">
        <is>
          <t>A 36779-2026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46319</v>
      </c>
      <c r="F25" t="inlineStr">
        <is>
          <t>VÄSTRA GÖTALANDS LÄN</t>
        </is>
      </c>
      <c r="G25" t="inlineStr">
        <is>
          <t>TANUM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36779-2026 artfynd.xlsx", "A 36779-2026")</f>
        <v/>
      </c>
      <c r="X25">
        <f>HYPERLINK("https://klasma.github.io/Logging_1435/kartor/A 36779-2026 karta.png", "A 36779-2026")</f>
        <v/>
      </c>
      <c r="Y25">
        <f>HYPERLINK("https://klasma.github.io/Logging_1435/kartor_geotiff/A 36779-2026 georefererad karta.tif", "A 36779-2026")</f>
        <v/>
      </c>
      <c r="AA25">
        <f>HYPERLINK("https://klasma.github.io/Logging_1435/klagomål/A 36779-2026 FSC-klagomål.docx", "A 36779-2026")</f>
        <v/>
      </c>
      <c r="AB25">
        <f>HYPERLINK("https://klasma.github.io/Logging_1435/klagomålsmail/A 36779-2026 FSC-klagomål mail.docx", "A 36779-2026")</f>
        <v/>
      </c>
      <c r="AC25">
        <f>HYPERLINK("https://klasma.github.io/Logging_1435/tillsyn/A 36779-2026 tillsynsbegäran.docx", "A 36779-2026")</f>
        <v/>
      </c>
      <c r="AD25">
        <f>HYPERLINK("https://klasma.github.io/Logging_1435/tillsynsmail/A 36779-2026 tillsynsbegäran mail.docx", "A 36779-2026")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46319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46319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46319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46319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46319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46319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46319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46319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39358-2025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46319</v>
      </c>
      <c r="F34" t="inlineStr">
        <is>
          <t>VÄSTRA GÖTALANDS LÄN</t>
        </is>
      </c>
      <c r="G34" t="inlineStr">
        <is>
          <t>TANUM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Åkerkulla</t>
        </is>
      </c>
      <c r="W34">
        <f>HYPERLINK("https://klasma.github.io/Logging_1435/artfynd/A 39358-2025 artfynd.xlsx", "A 39358-2025")</f>
        <v/>
      </c>
      <c r="X34">
        <f>HYPERLINK("https://klasma.github.io/Logging_1435/kartor/A 39358-2025 karta.png", "A 39358-2025")</f>
        <v/>
      </c>
      <c r="Y34">
        <f>HYPERLINK("https://klasma.github.io/Logging_1435/kartor_geotiff/A 39358-2025 georefererad karta.tif", "A 39358-2025")</f>
        <v/>
      </c>
      <c r="AA34">
        <f>HYPERLINK("https://klasma.github.io/Logging_1435/klagomål/A 39358-2025 FSC-klagomål.docx", "A 39358-2025")</f>
        <v/>
      </c>
      <c r="AB34">
        <f>HYPERLINK("https://klasma.github.io/Logging_1435/klagomålsmail/A 39358-2025 FSC-klagomål mail.docx", "A 39358-2025")</f>
        <v/>
      </c>
      <c r="AC34">
        <f>HYPERLINK("https://klasma.github.io/Logging_1435/tillsyn/A 39358-2025 tillsynsbegäran.docx", "A 39358-2025")</f>
        <v/>
      </c>
      <c r="AD34">
        <f>HYPERLINK("https://klasma.github.io/Logging_1435/tillsynsmail/A 39358-2025 tillsynsbegäran mail.docx", "A 39358-2025")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46319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46319</v>
      </c>
      <c r="F36" t="inlineStr">
        <is>
          <t>VÄSTRA GÖTALANDS LÄN</t>
        </is>
      </c>
      <c r="G36" t="inlineStr">
        <is>
          <t>TANUM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23197-2026 artfynd.xlsx", "A 23197-2026")</f>
        <v/>
      </c>
      <c r="X36">
        <f>HYPERLINK("https://klasma.github.io/Logging_1435/kartor/A 23197-2026 karta.png", "A 23197-2026")</f>
        <v/>
      </c>
      <c r="Y36">
        <f>HYPERLINK("https://klasma.github.io/Logging_1435/kartor_geotiff/A 23197-2026 georefererad karta.tif", "A 23197-2026")</f>
        <v/>
      </c>
      <c r="AA36">
        <f>HYPERLINK("https://klasma.github.io/Logging_1435/klagomål/A 23197-2026 FSC-klagomål.docx", "A 23197-2026")</f>
        <v/>
      </c>
      <c r="AB36">
        <f>HYPERLINK("https://klasma.github.io/Logging_1435/klagomålsmail/A 23197-2026 FSC-klagomål mail.docx", "A 23197-2026")</f>
        <v/>
      </c>
      <c r="AC36">
        <f>HYPERLINK("https://klasma.github.io/Logging_1435/tillsyn/A 23197-2026 tillsynsbegäran.docx", "A 23197-2026")</f>
        <v/>
      </c>
      <c r="AD36">
        <f>HYPERLINK("https://klasma.github.io/Logging_1435/tillsynsmail/A 23197-2026 tillsynsbegäran mail.docx", "A 23197-2026")</f>
        <v/>
      </c>
    </row>
    <row r="37" ht="15" customHeight="1">
      <c r="A37" t="inlineStr">
        <is>
          <t>A 13437-2024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45387</v>
      </c>
      <c r="E37" s="1" t="n">
        <v>46319</v>
      </c>
      <c r="F37" t="inlineStr">
        <is>
          <t>VÄSTRA GÖTALANDS LÄN</t>
        </is>
      </c>
      <c r="G37" t="inlineStr">
        <is>
          <t>TANUM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HYPERLINK("https://klasma.github.io/Logging_1435/artfynd/A 13437-2024 artfynd.xlsx", "A 13437-2024")</f>
        <v/>
      </c>
      <c r="X37">
        <f>HYPERLINK("https://klasma.github.io/Logging_1435/kartor/A 13437-2024 karta.png", "A 13437-2024")</f>
        <v/>
      </c>
      <c r="Y37">
        <f>HYPERLINK("https://klasma.github.io/Logging_1435/kartor_geotiff/A 13437-2024 georefererad karta.tif", "A 13437-2024")</f>
        <v/>
      </c>
      <c r="AA37">
        <f>HYPERLINK("https://klasma.github.io/Logging_1435/klagomål/A 13437-2024 FSC-klagomål.docx", "A 13437-2024")</f>
        <v/>
      </c>
      <c r="AB37">
        <f>HYPERLINK("https://klasma.github.io/Logging_1435/klagomålsmail/A 13437-2024 FSC-klagomål mail.docx", "A 13437-2024")</f>
        <v/>
      </c>
      <c r="AC37">
        <f>HYPERLINK("https://klasma.github.io/Logging_1435/tillsyn/A 13437-2024 tillsynsbegäran.docx", "A 13437-2024")</f>
        <v/>
      </c>
      <c r="AD37">
        <f>HYPERLINK("https://klasma.github.io/Logging_1435/tillsynsmail/A 13437-2024 tillsynsbegäran mail.docx", "A 13437-2024")</f>
        <v/>
      </c>
    </row>
    <row r="38" ht="15" customHeight="1">
      <c r="A38" t="inlineStr">
        <is>
          <t>A 10764-2025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46319</v>
      </c>
      <c r="F38" t="inlineStr">
        <is>
          <t>VÄSTRA GÖTALANDS LÄN</t>
        </is>
      </c>
      <c r="G38" t="inlineStr">
        <is>
          <t>TANUM</t>
        </is>
      </c>
      <c r="I38" t="n">
        <v>12.6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HYPERLINK("https://klasma.github.io/Logging_1435/artfynd/A 10764-2025 artfynd.xlsx", "A 10764-2025")</f>
        <v/>
      </c>
      <c r="X38">
        <f>HYPERLINK("https://klasma.github.io/Logging_1435/kartor/A 10764-2025 karta.png", "A 10764-2025")</f>
        <v/>
      </c>
      <c r="Y38">
        <f>HYPERLINK("https://klasma.github.io/Logging_1435/kartor_geotiff/A 10764-2025 georefererad karta.tif", "A 10764-2025")</f>
        <v/>
      </c>
      <c r="AA38">
        <f>HYPERLINK("https://klasma.github.io/Logging_1435/klagomål/A 10764-2025 FSC-klagomål.docx", "A 10764-2025")</f>
        <v/>
      </c>
      <c r="AB38">
        <f>HYPERLINK("https://klasma.github.io/Logging_1435/klagomålsmail/A 10764-2025 FSC-klagomål mail.docx", "A 10764-2025")</f>
        <v/>
      </c>
      <c r="AC38">
        <f>HYPERLINK("https://klasma.github.io/Logging_1435/tillsyn/A 10764-2025 tillsynsbegäran.docx", "A 10764-2025")</f>
        <v/>
      </c>
      <c r="AD38">
        <f>HYPERLINK("https://klasma.github.io/Logging_1435/tillsynsmail/A 10764-2025 tillsynsbegäran mail.docx", "A 10764-2025")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46319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23149-2025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46319</v>
      </c>
      <c r="F40" t="inlineStr">
        <is>
          <t>VÄSTRA GÖTALANDS LÄN</t>
        </is>
      </c>
      <c r="G40" t="inlineStr">
        <is>
          <t>TANUM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HYPERLINK("https://klasma.github.io/Logging_1435/artfynd/A 23149-2025 artfynd.xlsx", "A 23149-2025")</f>
        <v/>
      </c>
      <c r="X40">
        <f>HYPERLINK("https://klasma.github.io/Logging_1435/kartor/A 23149-2025 karta.png", "A 23149-2025")</f>
        <v/>
      </c>
      <c r="Y40">
        <f>HYPERLINK("https://klasma.github.io/Logging_1435/kartor_geotiff/A 23149-2025 georefererad karta.tif", "A 23149-2025")</f>
        <v/>
      </c>
      <c r="AA40">
        <f>HYPERLINK("https://klasma.github.io/Logging_1435/klagomål/A 23149-2025 FSC-klagomål.docx", "A 23149-2025")</f>
        <v/>
      </c>
      <c r="AB40">
        <f>HYPERLINK("https://klasma.github.io/Logging_1435/klagomålsmail/A 23149-2025 FSC-klagomål mail.docx", "A 23149-2025")</f>
        <v/>
      </c>
      <c r="AC40">
        <f>HYPERLINK("https://klasma.github.io/Logging_1435/tillsyn/A 23149-2025 tillsynsbegäran.docx", "A 23149-2025")</f>
        <v/>
      </c>
      <c r="AD40">
        <f>HYPERLINK("https://klasma.github.io/Logging_1435/tillsynsmail/A 23149-2025 tillsynsbegäran mail.docx", "A 23149-2025")</f>
        <v/>
      </c>
    </row>
    <row r="41" ht="15" customHeight="1">
      <c r="A41" t="inlineStr">
        <is>
          <t>A 9276-2026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46319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HYPERLINK("https://klasma.github.io/Logging_1435/artfynd/A 9276-2026 artfynd.xlsx", "A 9276-2026")</f>
        <v/>
      </c>
      <c r="X41">
        <f>HYPERLINK("https://klasma.github.io/Logging_1435/kartor/A 9276-2026 karta.png", "A 9276-2026")</f>
        <v/>
      </c>
      <c r="Y41">
        <f>HYPERLINK("https://klasma.github.io/Logging_1435/kartor_geotiff/A 9276-2026 georefererad karta.tif", "A 9276-2026")</f>
        <v/>
      </c>
      <c r="AA41">
        <f>HYPERLINK("https://klasma.github.io/Logging_1435/klagomål/A 9276-2026 FSC-klagomål.docx", "A 9276-2026")</f>
        <v/>
      </c>
      <c r="AB41">
        <f>HYPERLINK("https://klasma.github.io/Logging_1435/klagomålsmail/A 9276-2026 FSC-klagomål mail.docx", "A 9276-2026")</f>
        <v/>
      </c>
      <c r="AC41">
        <f>HYPERLINK("https://klasma.github.io/Logging_1435/tillsyn/A 9276-2026 tillsynsbegäran.docx", "A 9276-2026")</f>
        <v/>
      </c>
      <c r="AD41">
        <f>HYPERLINK("https://klasma.github.io/Logging_1435/tillsynsmail/A 9276-2026 tillsynsbegäran mail.docx", "A 9276-2026")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46319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46319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53397-2022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46319</v>
      </c>
      <c r="F44" t="inlineStr">
        <is>
          <t>VÄSTRA GÖTALANDS LÄN</t>
        </is>
      </c>
      <c r="G44" t="inlineStr">
        <is>
          <t>TANUM</t>
        </is>
      </c>
      <c r="I44" t="n">
        <v>7.4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53397-2022 artfynd.xlsx", "A 53397-2022")</f>
        <v/>
      </c>
      <c r="X44">
        <f>HYPERLINK("https://klasma.github.io/Logging_1435/kartor/A 53397-2022 karta.png", "A 53397-2022")</f>
        <v/>
      </c>
      <c r="Y44">
        <f>HYPERLINK("https://klasma.github.io/Logging_1435/kartor_geotiff/A 53397-2022 georefererad karta.tif", "A 53397-2022")</f>
        <v/>
      </c>
      <c r="AA44">
        <f>HYPERLINK("https://klasma.github.io/Logging_1435/klagomål/A 53397-2022 FSC-klagomål.docx", "A 53397-2022")</f>
        <v/>
      </c>
      <c r="AB44">
        <f>HYPERLINK("https://klasma.github.io/Logging_1435/klagomålsmail/A 53397-2022 FSC-klagomål mail.docx", "A 53397-2022")</f>
        <v/>
      </c>
      <c r="AC44">
        <f>HYPERLINK("https://klasma.github.io/Logging_1435/tillsyn/A 53397-2022 tillsynsbegäran.docx", "A 53397-2022")</f>
        <v/>
      </c>
      <c r="AD44">
        <f>HYPERLINK("https://klasma.github.io/Logging_1435/tillsynsmail/A 53397-2022 tillsynsbegäran mail.docx", "A 53397-2022")</f>
        <v/>
      </c>
      <c r="AE44">
        <f>HYPERLINK("https://klasma.github.io/Logging_1435/fåglar/A 53397-2022 prioriterade fågelarter.docx", "A 53397-2022")</f>
        <v/>
      </c>
    </row>
    <row r="45" ht="15" customHeight="1">
      <c r="A45" t="inlineStr">
        <is>
          <t>A 42461-2026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46308</v>
      </c>
      <c r="E45" s="1" t="n">
        <v>46319</v>
      </c>
      <c r="F45" t="inlineStr">
        <is>
          <t>VÄSTRA GÖTALANDS LÄN</t>
        </is>
      </c>
      <c r="G45" t="inlineStr">
        <is>
          <t>TANUM</t>
        </is>
      </c>
      <c r="I45" t="n">
        <v>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HYPERLINK("https://klasma.github.io/Logging_1435/artfynd/A 42461-2026 artfynd.xlsx", "A 42461-2026")</f>
        <v/>
      </c>
      <c r="X45">
        <f>HYPERLINK("https://klasma.github.io/Logging_1435/kartor/A 42461-2026 karta.png", "A 42461-2026")</f>
        <v/>
      </c>
      <c r="Y45">
        <f>HYPERLINK("https://klasma.github.io/Logging_1435/kartor_geotiff/A 42461-2026 georefererad karta.tif", "A 42461-2026")</f>
        <v/>
      </c>
      <c r="AA45">
        <f>HYPERLINK("https://klasma.github.io/Logging_1435/klagomål/A 42461-2026 FSC-klagomål.docx", "A 42461-2026")</f>
        <v/>
      </c>
      <c r="AB45">
        <f>HYPERLINK("https://klasma.github.io/Logging_1435/klagomålsmail/A 42461-2026 FSC-klagomål mail.docx", "A 42461-2026")</f>
        <v/>
      </c>
      <c r="AC45">
        <f>HYPERLINK("https://klasma.github.io/Logging_1435/tillsyn/A 42461-2026 tillsynsbegäran.docx", "A 42461-2026")</f>
        <v/>
      </c>
      <c r="AD45">
        <f>HYPERLINK("https://klasma.github.io/Logging_1435/tillsynsmail/A 42461-2026 tillsynsbegäran mail.docx", "A 42461-2026")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46319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4208-2025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45685</v>
      </c>
      <c r="E47" s="1" t="n">
        <v>46319</v>
      </c>
      <c r="F47" t="inlineStr">
        <is>
          <t>VÄSTRA GÖTALANDS LÄN</t>
        </is>
      </c>
      <c r="G47" t="inlineStr">
        <is>
          <t>TANUM</t>
        </is>
      </c>
      <c r="I47" t="n">
        <v>19.3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HYPERLINK("https://klasma.github.io/Logging_1435/artfynd/A 4208-2025 artfynd.xlsx", "A 4208-2025")</f>
        <v/>
      </c>
      <c r="X47">
        <f>HYPERLINK("https://klasma.github.io/Logging_1435/kartor/A 4208-2025 karta.png", "A 4208-2025")</f>
        <v/>
      </c>
      <c r="Y47">
        <f>HYPERLINK("https://klasma.github.io/Logging_1435/kartor_geotiff/A 4208-2025 georefererad karta.tif", "A 4208-2025")</f>
        <v/>
      </c>
      <c r="AA47">
        <f>HYPERLINK("https://klasma.github.io/Logging_1435/klagomål/A 4208-2025 FSC-klagomål.docx", "A 4208-2025")</f>
        <v/>
      </c>
      <c r="AB47">
        <f>HYPERLINK("https://klasma.github.io/Logging_1435/klagomålsmail/A 4208-2025 FSC-klagomål mail.docx", "A 4208-2025")</f>
        <v/>
      </c>
      <c r="AC47">
        <f>HYPERLINK("https://klasma.github.io/Logging_1435/tillsyn/A 4208-2025 tillsynsbegäran.docx", "A 4208-2025")</f>
        <v/>
      </c>
      <c r="AD47">
        <f>HYPERLINK("https://klasma.github.io/Logging_1435/tillsynsmail/A 4208-2025 tillsynsbegäran mail.docx", "A 4208-2025")</f>
        <v/>
      </c>
    </row>
    <row r="48" ht="15" customHeight="1">
      <c r="A48" t="inlineStr">
        <is>
          <t>A 46044-2023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46319</v>
      </c>
      <c r="F48" t="inlineStr">
        <is>
          <t>VÄSTRA GÖTALANDS LÄN</t>
        </is>
      </c>
      <c r="G48" t="inlineStr">
        <is>
          <t>TANUM</t>
        </is>
      </c>
      <c r="I48" t="n">
        <v>33.6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Korallblylav</t>
        </is>
      </c>
      <c r="W48">
        <f>HYPERLINK("https://klasma.github.io/Logging_1435/artfynd/A 46044-2023 artfynd.xlsx", "A 46044-2023")</f>
        <v/>
      </c>
      <c r="X48">
        <f>HYPERLINK("https://klasma.github.io/Logging_1435/kartor/A 46044-2023 karta.png", "A 46044-2023")</f>
        <v/>
      </c>
      <c r="Y48">
        <f>HYPERLINK("https://klasma.github.io/Logging_1435/kartor_geotiff/A 46044-2023 georefererad karta.tif", "A 46044-2023")</f>
        <v/>
      </c>
      <c r="AA48">
        <f>HYPERLINK("https://klasma.github.io/Logging_1435/klagomål/A 46044-2023 FSC-klagomål.docx", "A 46044-2023")</f>
        <v/>
      </c>
      <c r="AB48">
        <f>HYPERLINK("https://klasma.github.io/Logging_1435/klagomålsmail/A 46044-2023 FSC-klagomål mail.docx", "A 46044-2023")</f>
        <v/>
      </c>
      <c r="AC48">
        <f>HYPERLINK("https://klasma.github.io/Logging_1435/tillsyn/A 46044-2023 tillsynsbegäran.docx", "A 46044-2023")</f>
        <v/>
      </c>
      <c r="AD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46319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46319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46319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46319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46319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46319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46319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46319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46319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46319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46319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46319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46319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46319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46319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46319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46319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46319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46319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46319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46319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46319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46319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46319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46319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46319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46319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46319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46319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46319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46319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46319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46319</v>
      </c>
      <c r="F81" t="inlineStr">
        <is>
          <t>VÄSTRA GÖTALANDS LÄN</t>
        </is>
      </c>
      <c r="G81" t="inlineStr">
        <is>
          <t>TANUM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46319</v>
      </c>
      <c r="F82" t="inlineStr">
        <is>
          <t>VÄSTRA GÖTALANDS LÄN</t>
        </is>
      </c>
      <c r="G82" t="inlineStr">
        <is>
          <t>TANUM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46319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46319</v>
      </c>
      <c r="F84" t="inlineStr">
        <is>
          <t>VÄSTRA GÖTALANDS LÄN</t>
        </is>
      </c>
      <c r="G84" t="inlineStr">
        <is>
          <t>TANUM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44867</v>
      </c>
      <c r="E85" s="1" t="n">
        <v>46319</v>
      </c>
      <c r="F85" t="inlineStr">
        <is>
          <t>VÄSTRA GÖTALANDS LÄN</t>
        </is>
      </c>
      <c r="G85" t="inlineStr">
        <is>
          <t>TANUM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46319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46319</v>
      </c>
      <c r="F87" t="inlineStr">
        <is>
          <t>VÄSTRA GÖTALANDS LÄN</t>
        </is>
      </c>
      <c r="G87" t="inlineStr">
        <is>
          <t>TANUM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46319</v>
      </c>
      <c r="F88" t="inlineStr">
        <is>
          <t>VÄSTRA GÖTALANDS LÄN</t>
        </is>
      </c>
      <c r="G88" t="inlineStr">
        <is>
          <t>TANUM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45371</v>
      </c>
      <c r="E89" s="1" t="n">
        <v>46319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46319</v>
      </c>
      <c r="F90" t="inlineStr">
        <is>
          <t>VÄSTRA GÖTALANDS LÄN</t>
        </is>
      </c>
      <c r="G90" t="inlineStr">
        <is>
          <t>TANUM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24100-2022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44725</v>
      </c>
      <c r="E91" s="1" t="n">
        <v>46319</v>
      </c>
      <c r="F91" t="inlineStr">
        <is>
          <t>VÄSTRA GÖTALANDS LÄN</t>
        </is>
      </c>
      <c r="G91" t="inlineStr">
        <is>
          <t>TANUM</t>
        </is>
      </c>
      <c r="I91" t="n">
        <v>10.7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46319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46319</v>
      </c>
      <c r="F93" t="inlineStr">
        <is>
          <t>VÄSTRA GÖTALANDS LÄN</t>
        </is>
      </c>
      <c r="G93" t="inlineStr">
        <is>
          <t>TANUM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46319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46319</v>
      </c>
      <c r="F95" t="inlineStr">
        <is>
          <t>VÄSTRA GÖTALANDS LÄN</t>
        </is>
      </c>
      <c r="G95" t="inlineStr">
        <is>
          <t>TANUM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46319</v>
      </c>
      <c r="F96" t="inlineStr">
        <is>
          <t>VÄSTRA GÖTALANDS LÄN</t>
        </is>
      </c>
      <c r="G96" t="inlineStr">
        <is>
          <t>TANUM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46319</v>
      </c>
      <c r="F97" t="inlineStr">
        <is>
          <t>VÄSTRA GÖTALANDS LÄN</t>
        </is>
      </c>
      <c r="G97" t="inlineStr">
        <is>
          <t>TANUM</t>
        </is>
      </c>
      <c r="I97" t="n">
        <v>19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46319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45286</v>
      </c>
      <c r="E99" s="1" t="n">
        <v>46319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46319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46319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46319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46319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46319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46319</v>
      </c>
      <c r="F105" t="inlineStr">
        <is>
          <t>VÄSTRA GÖTALANDS LÄN</t>
        </is>
      </c>
      <c r="G105" t="inlineStr">
        <is>
          <t>TANUM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46319</v>
      </c>
      <c r="F106" t="inlineStr">
        <is>
          <t>VÄSTRA GÖTALANDS LÄN</t>
        </is>
      </c>
      <c r="G106" t="inlineStr">
        <is>
          <t>TANUM</t>
        </is>
      </c>
      <c r="I106" t="n">
        <v>13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46319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46319</v>
      </c>
      <c r="F108" t="inlineStr">
        <is>
          <t>VÄSTRA GÖTALANDS LÄN</t>
        </is>
      </c>
      <c r="G108" t="inlineStr">
        <is>
          <t>TANUM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46319</v>
      </c>
      <c r="F109" t="inlineStr">
        <is>
          <t>VÄSTRA GÖTALANDS LÄN</t>
        </is>
      </c>
      <c r="G109" t="inlineStr">
        <is>
          <t>TANUM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46319</v>
      </c>
      <c r="F110" t="inlineStr">
        <is>
          <t>VÄSTRA GÖTALANDS LÄN</t>
        </is>
      </c>
      <c r="G110" t="inlineStr">
        <is>
          <t>TANUM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46319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46319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46319</v>
      </c>
      <c r="F113" t="inlineStr">
        <is>
          <t>VÄSTRA GÖTALANDS LÄN</t>
        </is>
      </c>
      <c r="G113" t="inlineStr">
        <is>
          <t>TANUM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46319</v>
      </c>
      <c r="F114" t="inlineStr">
        <is>
          <t>VÄSTRA GÖTALANDS LÄN</t>
        </is>
      </c>
      <c r="G114" t="inlineStr">
        <is>
          <t>TANUM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44944</v>
      </c>
      <c r="E115" s="1" t="n">
        <v>46319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46319</v>
      </c>
      <c r="F116" t="inlineStr">
        <is>
          <t>VÄSTRA GÖTALANDS LÄN</t>
        </is>
      </c>
      <c r="G116" t="inlineStr">
        <is>
          <t>TANUM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46319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46319</v>
      </c>
      <c r="F118" t="inlineStr">
        <is>
          <t>VÄSTRA GÖTALANDS LÄN</t>
        </is>
      </c>
      <c r="G118" t="inlineStr">
        <is>
          <t>TANUM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46319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46319</v>
      </c>
      <c r="F120" t="inlineStr">
        <is>
          <t>VÄSTRA GÖTALANDS LÄN</t>
        </is>
      </c>
      <c r="G120" t="inlineStr">
        <is>
          <t>TANUM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46319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46319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46319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46319</v>
      </c>
      <c r="F124" t="inlineStr">
        <is>
          <t>VÄSTRA GÖTALANDS LÄN</t>
        </is>
      </c>
      <c r="G124" t="inlineStr">
        <is>
          <t>TANUM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46319</v>
      </c>
      <c r="F125" t="inlineStr">
        <is>
          <t>VÄSTRA GÖTALANDS LÄN</t>
        </is>
      </c>
      <c r="G125" t="inlineStr">
        <is>
          <t>TANUM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46319</v>
      </c>
      <c r="F126" t="inlineStr">
        <is>
          <t>VÄSTRA GÖTALANDS LÄN</t>
        </is>
      </c>
      <c r="G126" t="inlineStr">
        <is>
          <t>TANUM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46319</v>
      </c>
      <c r="F127" t="inlineStr">
        <is>
          <t>VÄSTRA GÖTALANDS LÄN</t>
        </is>
      </c>
      <c r="G127" t="inlineStr">
        <is>
          <t>TANUM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46319</v>
      </c>
      <c r="F128" t="inlineStr">
        <is>
          <t>VÄSTRA GÖTALANDS LÄN</t>
        </is>
      </c>
      <c r="G128" t="inlineStr">
        <is>
          <t>TANUM</t>
        </is>
      </c>
      <c r="H128" t="inlineStr">
        <is>
          <t>Kyrkan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46319</v>
      </c>
      <c r="F129" t="inlineStr">
        <is>
          <t>VÄSTRA GÖTALANDS LÄN</t>
        </is>
      </c>
      <c r="G129" t="inlineStr">
        <is>
          <t>TANUM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45935</v>
      </c>
      <c r="E130" s="1" t="n">
        <v>46319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46319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46319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44872</v>
      </c>
      <c r="E133" s="1" t="n">
        <v>46319</v>
      </c>
      <c r="F133" t="inlineStr">
        <is>
          <t>VÄSTRA GÖTALANDS LÄN</t>
        </is>
      </c>
      <c r="G133" t="inlineStr">
        <is>
          <t>TANUM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46319</v>
      </c>
      <c r="F134" t="inlineStr">
        <is>
          <t>VÄSTRA GÖTALANDS LÄN</t>
        </is>
      </c>
      <c r="G134" t="inlineStr">
        <is>
          <t>TANUM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45311</v>
      </c>
      <c r="E135" s="1" t="n">
        <v>46319</v>
      </c>
      <c r="F135" t="inlineStr">
        <is>
          <t>VÄSTRA GÖTALANDS LÄN</t>
        </is>
      </c>
      <c r="G135" t="inlineStr">
        <is>
          <t>TANUM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45599</v>
      </c>
      <c r="E136" s="1" t="n">
        <v>46319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46319</v>
      </c>
      <c r="F137" t="inlineStr">
        <is>
          <t>VÄSTRA GÖTALANDS LÄN</t>
        </is>
      </c>
      <c r="G137" t="inlineStr">
        <is>
          <t>TANUM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46175</v>
      </c>
      <c r="E138" s="1" t="n">
        <v>46319</v>
      </c>
      <c r="F138" t="inlineStr">
        <is>
          <t>VÄSTRA GÖTALANDS LÄN</t>
        </is>
      </c>
      <c r="G138" t="inlineStr">
        <is>
          <t>TANUM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46319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46319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46319</v>
      </c>
      <c r="F141" t="inlineStr">
        <is>
          <t>VÄSTRA GÖTALANDS LÄN</t>
        </is>
      </c>
      <c r="G141" t="inlineStr">
        <is>
          <t>TANUM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46319</v>
      </c>
      <c r="F142" t="inlineStr">
        <is>
          <t>VÄSTRA GÖTALANDS LÄN</t>
        </is>
      </c>
      <c r="G142" t="inlineStr">
        <is>
          <t>TANUM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46319</v>
      </c>
      <c r="F143" t="inlineStr">
        <is>
          <t>VÄSTRA GÖTALANDS LÄN</t>
        </is>
      </c>
      <c r="G143" t="inlineStr">
        <is>
          <t>TANUM</t>
        </is>
      </c>
      <c r="I143" t="n">
        <v>11.6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46319</v>
      </c>
      <c r="F144" t="inlineStr">
        <is>
          <t>VÄSTRA GÖTALANDS LÄN</t>
        </is>
      </c>
      <c r="G144" t="inlineStr">
        <is>
          <t>TANUM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46319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45595</v>
      </c>
      <c r="E146" s="1" t="n">
        <v>46319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46319</v>
      </c>
      <c r="F147" t="inlineStr">
        <is>
          <t>VÄSTRA GÖTALANDS LÄN</t>
        </is>
      </c>
      <c r="G147" t="inlineStr">
        <is>
          <t>TANUM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46176</v>
      </c>
      <c r="E148" s="1" t="n">
        <v>46319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46319</v>
      </c>
      <c r="F149" t="inlineStr">
        <is>
          <t>VÄSTRA GÖTALANDS LÄN</t>
        </is>
      </c>
      <c r="G149" t="inlineStr">
        <is>
          <t>TANUM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46319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46319</v>
      </c>
      <c r="F151" t="inlineStr">
        <is>
          <t>VÄSTRA GÖTALANDS LÄN</t>
        </is>
      </c>
      <c r="G151" t="inlineStr">
        <is>
          <t>TANUM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46319</v>
      </c>
      <c r="F152" t="inlineStr">
        <is>
          <t>VÄSTRA GÖTALANDS LÄN</t>
        </is>
      </c>
      <c r="G152" t="inlineStr">
        <is>
          <t>TANUM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46319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45949</v>
      </c>
      <c r="E154" s="1" t="n">
        <v>46319</v>
      </c>
      <c r="F154" t="inlineStr">
        <is>
          <t>VÄSTRA GÖTALANDS LÄN</t>
        </is>
      </c>
      <c r="G154" t="inlineStr">
        <is>
          <t>TANUM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46319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46319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46319</v>
      </c>
      <c r="F157" t="inlineStr">
        <is>
          <t>VÄSTRA GÖTALANDS LÄN</t>
        </is>
      </c>
      <c r="G157" t="inlineStr">
        <is>
          <t>TANUM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46319</v>
      </c>
      <c r="F158" t="inlineStr">
        <is>
          <t>VÄSTRA GÖTALANDS LÄN</t>
        </is>
      </c>
      <c r="G158" t="inlineStr">
        <is>
          <t>TANUM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45415</v>
      </c>
      <c r="E159" s="1" t="n">
        <v>46319</v>
      </c>
      <c r="F159" t="inlineStr">
        <is>
          <t>VÄSTRA GÖTALANDS LÄN</t>
        </is>
      </c>
      <c r="G159" t="inlineStr">
        <is>
          <t>TANUM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46319</v>
      </c>
      <c r="F160" t="inlineStr">
        <is>
          <t>VÄSTRA GÖTALANDS LÄN</t>
        </is>
      </c>
      <c r="G160" t="inlineStr">
        <is>
          <t>TANUM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46319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46319</v>
      </c>
      <c r="F162" t="inlineStr">
        <is>
          <t>VÄSTRA GÖTALANDS LÄN</t>
        </is>
      </c>
      <c r="G162" t="inlineStr">
        <is>
          <t>TANUM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46319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46319</v>
      </c>
      <c r="F164" t="inlineStr">
        <is>
          <t>VÄSTRA GÖTALANDS LÄN</t>
        </is>
      </c>
      <c r="G164" t="inlineStr">
        <is>
          <t>TANUM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46319</v>
      </c>
      <c r="F165" t="inlineStr">
        <is>
          <t>VÄSTRA GÖTALANDS LÄN</t>
        </is>
      </c>
      <c r="G165" t="inlineStr">
        <is>
          <t>TANUM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46319</v>
      </c>
      <c r="F166" t="inlineStr">
        <is>
          <t>VÄSTRA GÖTALANDS LÄN</t>
        </is>
      </c>
      <c r="G166" t="inlineStr">
        <is>
          <t>TANUM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46319</v>
      </c>
      <c r="F167" t="inlineStr">
        <is>
          <t>VÄSTRA GÖTALANDS LÄN</t>
        </is>
      </c>
      <c r="G167" t="inlineStr">
        <is>
          <t>TANUM</t>
        </is>
      </c>
      <c r="I167" t="n">
        <v>12.9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46319</v>
      </c>
      <c r="F168" t="inlineStr">
        <is>
          <t>VÄSTRA GÖTALANDS LÄN</t>
        </is>
      </c>
      <c r="G168" t="inlineStr">
        <is>
          <t>TANUM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46319</v>
      </c>
      <c r="F169" t="inlineStr">
        <is>
          <t>VÄSTRA GÖTALANDS LÄN</t>
        </is>
      </c>
      <c r="G169" t="inlineStr">
        <is>
          <t>TANUM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46319</v>
      </c>
      <c r="F170" t="inlineStr">
        <is>
          <t>VÄSTRA GÖTALANDS LÄN</t>
        </is>
      </c>
      <c r="G170" t="inlineStr">
        <is>
          <t>TANUM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45102</v>
      </c>
      <c r="E171" s="1" t="n">
        <v>46319</v>
      </c>
      <c r="F171" t="inlineStr">
        <is>
          <t>VÄSTRA GÖTALANDS LÄN</t>
        </is>
      </c>
      <c r="G171" t="inlineStr">
        <is>
          <t>TANUM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46319</v>
      </c>
      <c r="F172" t="inlineStr">
        <is>
          <t>VÄSTRA GÖTALANDS LÄN</t>
        </is>
      </c>
      <c r="G172" t="inlineStr">
        <is>
          <t>TANUM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46319</v>
      </c>
      <c r="F173" t="inlineStr">
        <is>
          <t>VÄSTRA GÖTALANDS LÄN</t>
        </is>
      </c>
      <c r="G173" t="inlineStr">
        <is>
          <t>TANUM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45387</v>
      </c>
      <c r="E174" s="1" t="n">
        <v>46319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46319</v>
      </c>
      <c r="F175" t="inlineStr">
        <is>
          <t>VÄSTRA GÖTALANDS LÄN</t>
        </is>
      </c>
      <c r="G175" t="inlineStr">
        <is>
          <t>TANUM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46319</v>
      </c>
      <c r="F176" t="inlineStr">
        <is>
          <t>VÄSTRA GÖTALANDS LÄN</t>
        </is>
      </c>
      <c r="G176" t="inlineStr">
        <is>
          <t>TANUM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46319</v>
      </c>
      <c r="F177" t="inlineStr">
        <is>
          <t>VÄSTRA GÖTALANDS LÄN</t>
        </is>
      </c>
      <c r="G177" t="inlineStr">
        <is>
          <t>TANUM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45659</v>
      </c>
      <c r="E178" s="1" t="n">
        <v>46319</v>
      </c>
      <c r="F178" t="inlineStr">
        <is>
          <t>VÄSTRA GÖTALANDS LÄN</t>
        </is>
      </c>
      <c r="G178" t="inlineStr">
        <is>
          <t>TANUM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46319</v>
      </c>
      <c r="F179" t="inlineStr">
        <is>
          <t>VÄSTRA GÖTALANDS LÄN</t>
        </is>
      </c>
      <c r="G179" t="inlineStr">
        <is>
          <t>TANUM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46319</v>
      </c>
      <c r="F180" t="inlineStr">
        <is>
          <t>VÄSTRA GÖTALANDS LÄN</t>
        </is>
      </c>
      <c r="G180" t="inlineStr">
        <is>
          <t>TANUM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46319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46319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46319</v>
      </c>
      <c r="F183" t="inlineStr">
        <is>
          <t>VÄSTRA GÖTALANDS LÄN</t>
        </is>
      </c>
      <c r="G183" t="inlineStr">
        <is>
          <t>TANUM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45174</v>
      </c>
      <c r="E184" s="1" t="n">
        <v>46319</v>
      </c>
      <c r="F184" t="inlineStr">
        <is>
          <t>VÄSTRA GÖTALANDS LÄN</t>
        </is>
      </c>
      <c r="G184" t="inlineStr">
        <is>
          <t>TANUM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46319</v>
      </c>
      <c r="F185" t="inlineStr">
        <is>
          <t>VÄSTRA GÖTALANDS LÄN</t>
        </is>
      </c>
      <c r="G185" t="inlineStr">
        <is>
          <t>TANUM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46319</v>
      </c>
      <c r="F186" t="inlineStr">
        <is>
          <t>VÄSTRA GÖTALANDS LÄN</t>
        </is>
      </c>
      <c r="G186" t="inlineStr">
        <is>
          <t>TANUM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46319</v>
      </c>
      <c r="F187" t="inlineStr">
        <is>
          <t>VÄSTRA GÖTALANDS LÄN</t>
        </is>
      </c>
      <c r="G187" t="inlineStr">
        <is>
          <t>TANUM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46319</v>
      </c>
      <c r="F188" t="inlineStr">
        <is>
          <t>VÄSTRA GÖTALANDS LÄN</t>
        </is>
      </c>
      <c r="G188" t="inlineStr">
        <is>
          <t>TANUM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46241-2023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45196</v>
      </c>
      <c r="E189" s="1" t="n">
        <v>46319</v>
      </c>
      <c r="F189" t="inlineStr">
        <is>
          <t>VÄSTRA GÖTALANDS LÄN</t>
        </is>
      </c>
      <c r="G189" t="inlineStr">
        <is>
          <t>TANUM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46319</v>
      </c>
      <c r="F190" t="inlineStr">
        <is>
          <t>VÄSTRA GÖTALANDS LÄN</t>
        </is>
      </c>
      <c r="G190" t="inlineStr">
        <is>
          <t>TANUM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46319</v>
      </c>
      <c r="F191" t="inlineStr">
        <is>
          <t>VÄSTRA GÖTALANDS LÄN</t>
        </is>
      </c>
      <c r="G191" t="inlineStr">
        <is>
          <t>TANUM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46319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46319</v>
      </c>
      <c r="F193" t="inlineStr">
        <is>
          <t>VÄSTRA GÖTALANDS LÄN</t>
        </is>
      </c>
      <c r="G193" t="inlineStr">
        <is>
          <t>TANUM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46319</v>
      </c>
      <c r="F194" t="inlineStr">
        <is>
          <t>VÄSTRA GÖTALANDS LÄN</t>
        </is>
      </c>
      <c r="G194" t="inlineStr">
        <is>
          <t>TANUM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46319</v>
      </c>
      <c r="F195" t="inlineStr">
        <is>
          <t>VÄSTRA GÖTALANDS LÄN</t>
        </is>
      </c>
      <c r="G195" t="inlineStr">
        <is>
          <t>TANUM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46319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46319</v>
      </c>
      <c r="F197" t="inlineStr">
        <is>
          <t>VÄSTRA GÖTALANDS LÄN</t>
        </is>
      </c>
      <c r="G197" t="inlineStr">
        <is>
          <t>TANUM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45026</v>
      </c>
      <c r="E198" s="1" t="n">
        <v>46319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58809-2025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45987</v>
      </c>
      <c r="E199" s="1" t="n">
        <v>46319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46319</v>
      </c>
      <c r="F200" t="inlineStr">
        <is>
          <t>VÄSTRA GÖTALANDS LÄN</t>
        </is>
      </c>
      <c r="G200" t="inlineStr">
        <is>
          <t>TANUM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46319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46319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46319</v>
      </c>
      <c r="F203" t="inlineStr">
        <is>
          <t>VÄSTRA GÖTALANDS LÄN</t>
        </is>
      </c>
      <c r="G203" t="inlineStr">
        <is>
          <t>TANUM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46319</v>
      </c>
      <c r="F204" t="inlineStr">
        <is>
          <t>VÄSTRA GÖTALANDS LÄN</t>
        </is>
      </c>
      <c r="G204" t="inlineStr">
        <is>
          <t>TANUM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46319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45454</v>
      </c>
      <c r="E206" s="1" t="n">
        <v>46319</v>
      </c>
      <c r="F206" t="inlineStr">
        <is>
          <t>VÄSTRA GÖTALANDS LÄN</t>
        </is>
      </c>
      <c r="G206" t="inlineStr">
        <is>
          <t>TANUM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46319</v>
      </c>
      <c r="F207" t="inlineStr">
        <is>
          <t>VÄSTRA GÖTALANDS LÄN</t>
        </is>
      </c>
      <c r="G207" t="inlineStr">
        <is>
          <t>TANUM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45515</v>
      </c>
      <c r="E208" s="1" t="n">
        <v>46319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46319</v>
      </c>
      <c r="F209" t="inlineStr">
        <is>
          <t>VÄSTRA GÖTALANDS LÄN</t>
        </is>
      </c>
      <c r="G209" t="inlineStr">
        <is>
          <t>TANUM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46319</v>
      </c>
      <c r="F210" t="inlineStr">
        <is>
          <t>VÄSTRA GÖTALANDS LÄN</t>
        </is>
      </c>
      <c r="G210" t="inlineStr">
        <is>
          <t>TANUM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46319</v>
      </c>
      <c r="F211" t="inlineStr">
        <is>
          <t>VÄSTRA GÖTALANDS LÄN</t>
        </is>
      </c>
      <c r="G211" t="inlineStr">
        <is>
          <t>TANUM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46319</v>
      </c>
      <c r="F212" t="inlineStr">
        <is>
          <t>VÄSTRA GÖTALANDS LÄN</t>
        </is>
      </c>
      <c r="G212" t="inlineStr">
        <is>
          <t>TANUM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46319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46319</v>
      </c>
      <c r="F214" t="inlineStr">
        <is>
          <t>VÄSTRA GÖTALANDS LÄN</t>
        </is>
      </c>
      <c r="G214" t="inlineStr">
        <is>
          <t>TANUM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46319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46319</v>
      </c>
      <c r="F216" t="inlineStr">
        <is>
          <t>VÄSTRA GÖTALANDS LÄN</t>
        </is>
      </c>
      <c r="G216" t="inlineStr">
        <is>
          <t>TANUM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46319</v>
      </c>
      <c r="F217" t="inlineStr">
        <is>
          <t>VÄSTRA GÖTALANDS LÄN</t>
        </is>
      </c>
      <c r="G217" t="inlineStr">
        <is>
          <t>TANUM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46231</v>
      </c>
      <c r="E218" s="1" t="n">
        <v>46319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46319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46319</v>
      </c>
      <c r="F220" t="inlineStr">
        <is>
          <t>VÄSTRA GÖTALANDS LÄN</t>
        </is>
      </c>
      <c r="G220" t="inlineStr">
        <is>
          <t>TANUM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46319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46319</v>
      </c>
      <c r="F222" t="inlineStr">
        <is>
          <t>VÄSTRA GÖTALANDS LÄN</t>
        </is>
      </c>
      <c r="G222" t="inlineStr">
        <is>
          <t>TANUM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46319</v>
      </c>
      <c r="F223" t="inlineStr">
        <is>
          <t>VÄSTRA GÖTALANDS LÄN</t>
        </is>
      </c>
      <c r="G223" t="inlineStr">
        <is>
          <t>TANUM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46319</v>
      </c>
      <c r="F224" t="inlineStr">
        <is>
          <t>VÄSTRA GÖTALANDS LÄN</t>
        </is>
      </c>
      <c r="G224" t="inlineStr">
        <is>
          <t>TANUM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46319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Kommuner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46319</v>
      </c>
      <c r="F226" t="inlineStr">
        <is>
          <t>VÄSTRA GÖTALANDS LÄN</t>
        </is>
      </c>
      <c r="G226" t="inlineStr">
        <is>
          <t>TANUM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46319</v>
      </c>
      <c r="F227" t="inlineStr">
        <is>
          <t>VÄSTRA GÖTALANDS LÄN</t>
        </is>
      </c>
      <c r="G227" t="inlineStr">
        <is>
          <t>TANUM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46319</v>
      </c>
      <c r="F228" t="inlineStr">
        <is>
          <t>VÄSTRA GÖTALANDS LÄN</t>
        </is>
      </c>
      <c r="G228" t="inlineStr">
        <is>
          <t>TANUM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46319</v>
      </c>
      <c r="F229" t="inlineStr">
        <is>
          <t>VÄSTRA GÖTALANDS LÄN</t>
        </is>
      </c>
      <c r="G229" t="inlineStr">
        <is>
          <t>TANUM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46319</v>
      </c>
      <c r="F230" t="inlineStr">
        <is>
          <t>VÄSTRA GÖTALANDS LÄN</t>
        </is>
      </c>
      <c r="G230" t="inlineStr">
        <is>
          <t>TANUM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46319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46319</v>
      </c>
      <c r="F232" t="inlineStr">
        <is>
          <t>VÄSTRA GÖTALANDS LÄN</t>
        </is>
      </c>
      <c r="G232" t="inlineStr">
        <is>
          <t>TANUM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46240</v>
      </c>
      <c r="E233" s="1" t="n">
        <v>46319</v>
      </c>
      <c r="F233" t="inlineStr">
        <is>
          <t>VÄSTRA GÖTALANDS LÄN</t>
        </is>
      </c>
      <c r="G233" t="inlineStr">
        <is>
          <t>TANUM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46319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46319</v>
      </c>
      <c r="F235" t="inlineStr">
        <is>
          <t>VÄSTRA GÖTALANDS LÄN</t>
        </is>
      </c>
      <c r="G235" t="inlineStr">
        <is>
          <t>TANUM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46319</v>
      </c>
      <c r="F236" t="inlineStr">
        <is>
          <t>VÄSTRA GÖTALANDS LÄN</t>
        </is>
      </c>
      <c r="G236" t="inlineStr">
        <is>
          <t>TANUM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46319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46319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46319</v>
      </c>
      <c r="F239" t="inlineStr">
        <is>
          <t>VÄSTRA GÖTALANDS LÄN</t>
        </is>
      </c>
      <c r="G239" t="inlineStr">
        <is>
          <t>TANUM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46241</v>
      </c>
      <c r="E240" s="1" t="n">
        <v>46319</v>
      </c>
      <c r="F240" t="inlineStr">
        <is>
          <t>VÄSTRA GÖTALANDS LÄN</t>
        </is>
      </c>
      <c r="G240" t="inlineStr">
        <is>
          <t>TANUM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46319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44879</v>
      </c>
      <c r="E242" s="1" t="n">
        <v>46319</v>
      </c>
      <c r="F242" t="inlineStr">
        <is>
          <t>VÄSTRA GÖTALANDS LÄN</t>
        </is>
      </c>
      <c r="G242" t="inlineStr">
        <is>
          <t>TANUM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46319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46319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46319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46319</v>
      </c>
      <c r="F246" t="inlineStr">
        <is>
          <t>VÄSTRA GÖTALANDS LÄN</t>
        </is>
      </c>
      <c r="G246" t="inlineStr">
        <is>
          <t>TANUM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46319</v>
      </c>
      <c r="F247" t="inlineStr">
        <is>
          <t>VÄSTRA GÖTALANDS LÄN</t>
        </is>
      </c>
      <c r="G247" t="inlineStr">
        <is>
          <t>TANUM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46319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46319</v>
      </c>
      <c r="F249" t="inlineStr">
        <is>
          <t>VÄSTRA GÖTALANDS LÄN</t>
        </is>
      </c>
      <c r="G249" t="inlineStr">
        <is>
          <t>TANUM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46319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46319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46319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46319</v>
      </c>
      <c r="F253" t="inlineStr">
        <is>
          <t>VÄSTRA GÖTALANDS LÄN</t>
        </is>
      </c>
      <c r="G253" t="inlineStr">
        <is>
          <t>TANUM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46286</v>
      </c>
      <c r="E254" s="1" t="n">
        <v>46319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46286</v>
      </c>
      <c r="E255" s="1" t="n">
        <v>46319</v>
      </c>
      <c r="F255" t="inlineStr">
        <is>
          <t>VÄSTRA GÖTALANDS LÄN</t>
        </is>
      </c>
      <c r="G255" t="inlineStr">
        <is>
          <t>TANUM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46319</v>
      </c>
      <c r="F256" t="inlineStr">
        <is>
          <t>VÄSTRA GÖTALANDS LÄN</t>
        </is>
      </c>
      <c r="G256" t="inlineStr">
        <is>
          <t>TANUM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46319</v>
      </c>
      <c r="F257" t="inlineStr">
        <is>
          <t>VÄSTRA GÖTALANDS LÄN</t>
        </is>
      </c>
      <c r="G257" t="inlineStr">
        <is>
          <t>TANUM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46319</v>
      </c>
      <c r="F258" t="inlineStr">
        <is>
          <t>VÄSTRA GÖTALANDS LÄN</t>
        </is>
      </c>
      <c r="G258" t="inlineStr">
        <is>
          <t>TANUM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46319</v>
      </c>
      <c r="F259" t="inlineStr">
        <is>
          <t>VÄSTRA GÖTALANDS LÄN</t>
        </is>
      </c>
      <c r="G259" t="inlineStr">
        <is>
          <t>TANUM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46247</v>
      </c>
      <c r="E260" s="1" t="n">
        <v>46319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45753</v>
      </c>
      <c r="E261" s="1" t="n">
        <v>46319</v>
      </c>
      <c r="F261" t="inlineStr">
        <is>
          <t>VÄSTRA GÖTALANDS LÄN</t>
        </is>
      </c>
      <c r="G261" t="inlineStr">
        <is>
          <t>TANUM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46319</v>
      </c>
      <c r="F262" t="inlineStr">
        <is>
          <t>VÄSTRA GÖTALANDS LÄN</t>
        </is>
      </c>
      <c r="G262" t="inlineStr">
        <is>
          <t>TANUM</t>
        </is>
      </c>
      <c r="H262" t="inlineStr">
        <is>
          <t>Kyrkan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46319</v>
      </c>
      <c r="F263" t="inlineStr">
        <is>
          <t>VÄSTRA GÖTALANDS LÄN</t>
        </is>
      </c>
      <c r="G263" t="inlineStr">
        <is>
          <t>TANUM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4224-2024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45324</v>
      </c>
      <c r="E264" s="1" t="n">
        <v>46319</v>
      </c>
      <c r="F264" t="inlineStr">
        <is>
          <t>VÄSTRA GÖTALANDS LÄN</t>
        </is>
      </c>
      <c r="G264" t="inlineStr">
        <is>
          <t>TANUM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46319</v>
      </c>
      <c r="F265" t="inlineStr">
        <is>
          <t>VÄSTRA GÖTALANDS LÄN</t>
        </is>
      </c>
      <c r="G265" t="inlineStr">
        <is>
          <t>TANUM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46251</v>
      </c>
      <c r="E266" s="1" t="n">
        <v>46319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46292</v>
      </c>
      <c r="E267" s="1" t="n">
        <v>46319</v>
      </c>
      <c r="F267" t="inlineStr">
        <is>
          <t>VÄSTRA GÖTALANDS LÄN</t>
        </is>
      </c>
      <c r="G267" t="inlineStr">
        <is>
          <t>TANUM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46293</v>
      </c>
      <c r="E268" s="1" t="n">
        <v>46319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46294</v>
      </c>
      <c r="E269" s="1" t="n">
        <v>46319</v>
      </c>
      <c r="F269" t="inlineStr">
        <is>
          <t>VÄSTRA GÖTALANDS LÄN</t>
        </is>
      </c>
      <c r="G269" t="inlineStr">
        <is>
          <t>TANUM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46319</v>
      </c>
      <c r="F270" t="inlineStr">
        <is>
          <t>VÄSTRA GÖTALANDS LÄN</t>
        </is>
      </c>
      <c r="G270" t="inlineStr">
        <is>
          <t>TANUM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9437-2026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46319</v>
      </c>
      <c r="F271" t="inlineStr">
        <is>
          <t>VÄSTRA GÖTALANDS LÄN</t>
        </is>
      </c>
      <c r="G271" t="inlineStr">
        <is>
          <t>TANUM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46319</v>
      </c>
      <c r="F272" t="inlineStr">
        <is>
          <t>VÄSTRA GÖTALANDS LÄN</t>
        </is>
      </c>
      <c r="G272" t="inlineStr">
        <is>
          <t>TANUM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46319</v>
      </c>
      <c r="F273" t="inlineStr">
        <is>
          <t>VÄSTRA GÖTALANDS LÄN</t>
        </is>
      </c>
      <c r="G273" t="inlineStr">
        <is>
          <t>TANUM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46319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46319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46319</v>
      </c>
      <c r="F276" t="inlineStr">
        <is>
          <t>VÄSTRA GÖTALANDS LÄN</t>
        </is>
      </c>
      <c r="G276" t="inlineStr">
        <is>
          <t>TANUM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46319</v>
      </c>
      <c r="F277" t="inlineStr">
        <is>
          <t>VÄSTRA GÖTALANDS LÄN</t>
        </is>
      </c>
      <c r="G277" t="inlineStr">
        <is>
          <t>TANUM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11809-2026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46085</v>
      </c>
      <c r="E278" s="1" t="n">
        <v>46319</v>
      </c>
      <c r="F278" t="inlineStr">
        <is>
          <t>VÄSTRA GÖTALANDS LÄN</t>
        </is>
      </c>
      <c r="G278" t="inlineStr">
        <is>
          <t>TANUM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46319</v>
      </c>
      <c r="F279" t="inlineStr">
        <is>
          <t>VÄSTRA GÖTALANDS LÄN</t>
        </is>
      </c>
      <c r="G279" t="inlineStr">
        <is>
          <t>TANUM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46319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46254</v>
      </c>
      <c r="E281" s="1" t="n">
        <v>46319</v>
      </c>
      <c r="F281" t="inlineStr">
        <is>
          <t>VÄSTRA GÖTALANDS LÄN</t>
        </is>
      </c>
      <c r="G281" t="inlineStr">
        <is>
          <t>TANUM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46319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46319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46319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46300</v>
      </c>
      <c r="E285" s="1" t="n">
        <v>46319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46319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46319</v>
      </c>
      <c r="F287" t="inlineStr">
        <is>
          <t>VÄSTRA GÖTALANDS LÄN</t>
        </is>
      </c>
      <c r="G287" t="inlineStr">
        <is>
          <t>TANUM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46319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Sveaskog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46100</v>
      </c>
      <c r="E289" s="1" t="n">
        <v>46319</v>
      </c>
      <c r="F289" t="inlineStr">
        <is>
          <t>VÄSTRA GÖTALANDS LÄN</t>
        </is>
      </c>
      <c r="G289" t="inlineStr">
        <is>
          <t>TANUM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46319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45425</v>
      </c>
      <c r="E291" s="1" t="n">
        <v>46319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45425</v>
      </c>
      <c r="E292" s="1" t="n">
        <v>46319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46319</v>
      </c>
      <c r="F293" t="inlineStr">
        <is>
          <t>VÄSTRA GÖTALANDS LÄN</t>
        </is>
      </c>
      <c r="G293" t="inlineStr">
        <is>
          <t>TANUM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46319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46259</v>
      </c>
      <c r="E295" s="1" t="n">
        <v>46319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45522</v>
      </c>
      <c r="E296" s="1" t="n">
        <v>46319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34848-2026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46258</v>
      </c>
      <c r="E297" s="1" t="n">
        <v>46319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46319</v>
      </c>
      <c r="F298" t="inlineStr">
        <is>
          <t>VÄSTRA GÖTALANDS LÄN</t>
        </is>
      </c>
      <c r="G298" t="inlineStr">
        <is>
          <t>TANUM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46319</v>
      </c>
      <c r="F299" t="inlineStr">
        <is>
          <t>VÄSTRA GÖTALANDS LÄN</t>
        </is>
      </c>
      <c r="G299" t="inlineStr">
        <is>
          <t>TANUM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46125</v>
      </c>
      <c r="E300" s="1" t="n">
        <v>46319</v>
      </c>
      <c r="F300" t="inlineStr">
        <is>
          <t>VÄSTRA GÖTALANDS LÄN</t>
        </is>
      </c>
      <c r="G300" t="inlineStr">
        <is>
          <t>TANUM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45872</v>
      </c>
      <c r="E301" s="1" t="n">
        <v>46319</v>
      </c>
      <c r="F301" t="inlineStr">
        <is>
          <t>VÄSTRA GÖTALANDS LÄN</t>
        </is>
      </c>
      <c r="G301" t="inlineStr">
        <is>
          <t>TANUM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46319</v>
      </c>
      <c r="F302" t="inlineStr">
        <is>
          <t>VÄSTRA GÖTALANDS LÄN</t>
        </is>
      </c>
      <c r="G302" t="inlineStr">
        <is>
          <t>TANUM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46319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46319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46319</v>
      </c>
      <c r="F305" t="inlineStr">
        <is>
          <t>VÄSTRA GÖTALANDS LÄN</t>
        </is>
      </c>
      <c r="G305" t="inlineStr">
        <is>
          <t>TANUM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44601</v>
      </c>
      <c r="E306" s="1" t="n">
        <v>46319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46319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46319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46319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46319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46319</v>
      </c>
      <c r="F311" t="inlineStr">
        <is>
          <t>VÄSTRA GÖTALANDS LÄN</t>
        </is>
      </c>
      <c r="G311" t="inlineStr">
        <is>
          <t>TANUM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46319</v>
      </c>
      <c r="F312" t="inlineStr">
        <is>
          <t>VÄSTRA GÖTALANDS LÄN</t>
        </is>
      </c>
      <c r="G312" t="inlineStr">
        <is>
          <t>TANUM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45538</v>
      </c>
      <c r="E313" s="1" t="n">
        <v>46319</v>
      </c>
      <c r="F313" t="inlineStr">
        <is>
          <t>VÄSTRA GÖTALANDS LÄN</t>
        </is>
      </c>
      <c r="G313" t="inlineStr">
        <is>
          <t>TANUM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45842</v>
      </c>
      <c r="E314" s="1" t="n">
        <v>46319</v>
      </c>
      <c r="F314" t="inlineStr">
        <is>
          <t>VÄSTRA GÖTALANDS LÄN</t>
        </is>
      </c>
      <c r="G314" t="inlineStr">
        <is>
          <t>TANUM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46319</v>
      </c>
      <c r="F315" t="inlineStr">
        <is>
          <t>VÄSTRA GÖTALANDS LÄN</t>
        </is>
      </c>
      <c r="G315" t="inlineStr">
        <is>
          <t>TANUM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46319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46319</v>
      </c>
      <c r="F317" t="inlineStr">
        <is>
          <t>VÄSTRA GÖTALANDS LÄN</t>
        </is>
      </c>
      <c r="G317" t="inlineStr">
        <is>
          <t>TANUM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46319</v>
      </c>
      <c r="F318" t="inlineStr">
        <is>
          <t>VÄSTRA GÖTALANDS LÄN</t>
        </is>
      </c>
      <c r="G318" t="inlineStr">
        <is>
          <t>TANUM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46039</v>
      </c>
      <c r="E319" s="1" t="n">
        <v>46319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46319</v>
      </c>
      <c r="F320" t="inlineStr">
        <is>
          <t>VÄSTRA GÖTALANDS LÄN</t>
        </is>
      </c>
      <c r="G320" t="inlineStr">
        <is>
          <t>TANUM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45755</v>
      </c>
      <c r="E321" s="1" t="n">
        <v>46319</v>
      </c>
      <c r="F321" t="inlineStr">
        <is>
          <t>VÄSTRA GÖTALANDS LÄN</t>
        </is>
      </c>
      <c r="G321" t="inlineStr">
        <is>
          <t>TANUM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44939</v>
      </c>
      <c r="E322" s="1" t="n">
        <v>46319</v>
      </c>
      <c r="F322" t="inlineStr">
        <is>
          <t>VÄSTRA GÖTALANDS LÄN</t>
        </is>
      </c>
      <c r="G322" t="inlineStr">
        <is>
          <t>TANUM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46319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46314</v>
      </c>
      <c r="E324" s="1" t="n">
        <v>46319</v>
      </c>
      <c r="F324" t="inlineStr">
        <is>
          <t>VÄSTRA GÖTALANDS LÄN</t>
        </is>
      </c>
      <c r="G324" t="inlineStr">
        <is>
          <t>TANUM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46319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46319</v>
      </c>
      <c r="F326" t="inlineStr">
        <is>
          <t>VÄSTRA GÖTALANDS LÄN</t>
        </is>
      </c>
      <c r="G326" t="inlineStr">
        <is>
          <t>TANUM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46319</v>
      </c>
      <c r="F327" t="inlineStr">
        <is>
          <t>VÄSTRA GÖTALANDS LÄN</t>
        </is>
      </c>
      <c r="G327" t="inlineStr">
        <is>
          <t>TANUM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45023</v>
      </c>
      <c r="E328" s="1" t="n">
        <v>46319</v>
      </c>
      <c r="F328" t="inlineStr">
        <is>
          <t>VÄSTRA GÖTALANDS LÄN</t>
        </is>
      </c>
      <c r="G328" t="inlineStr">
        <is>
          <t>TANUM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45571</v>
      </c>
      <c r="E329" s="1" t="n">
        <v>46319</v>
      </c>
      <c r="F329" t="inlineStr">
        <is>
          <t>VÄSTRA GÖTALANDS LÄN</t>
        </is>
      </c>
      <c r="G329" t="inlineStr">
        <is>
          <t>TANUM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44506</v>
      </c>
      <c r="E330" s="1" t="n">
        <v>46319</v>
      </c>
      <c r="F330" t="inlineStr">
        <is>
          <t>VÄSTRA GÖTALANDS LÄN</t>
        </is>
      </c>
      <c r="G330" t="inlineStr">
        <is>
          <t>TANUM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46316</v>
      </c>
      <c r="E331" s="1" t="n">
        <v>46319</v>
      </c>
      <c r="F331" t="inlineStr">
        <is>
          <t>VÄSTRA GÖTALANDS LÄN</t>
        </is>
      </c>
      <c r="G331" t="inlineStr">
        <is>
          <t>TANUM</t>
        </is>
      </c>
      <c r="I331" t="n">
        <v>20.2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46319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46272</v>
      </c>
      <c r="E333" s="1" t="n">
        <v>46319</v>
      </c>
      <c r="F333" t="inlineStr">
        <is>
          <t>VÄSTRA GÖTALANDS LÄN</t>
        </is>
      </c>
      <c r="G333" t="inlineStr">
        <is>
          <t>TANUM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46319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46319</v>
      </c>
      <c r="F335" t="inlineStr">
        <is>
          <t>VÄSTRA GÖTALANDS LÄN</t>
        </is>
      </c>
      <c r="G335" t="inlineStr">
        <is>
          <t>TANUM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46273</v>
      </c>
      <c r="E336" s="1" t="n">
        <v>46319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46272</v>
      </c>
      <c r="E337" s="1" t="n">
        <v>46319</v>
      </c>
      <c r="F337" t="inlineStr">
        <is>
          <t>VÄSTRA GÖTALANDS LÄN</t>
        </is>
      </c>
      <c r="G337" t="inlineStr">
        <is>
          <t>TANUM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46319</v>
      </c>
      <c r="F338" t="inlineStr">
        <is>
          <t>VÄSTRA GÖTALANDS LÄN</t>
        </is>
      </c>
      <c r="G338" t="inlineStr">
        <is>
          <t>TANUM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46272</v>
      </c>
      <c r="E339" s="1" t="n">
        <v>46319</v>
      </c>
      <c r="F339" t="inlineStr">
        <is>
          <t>VÄSTRA GÖTALANDS LÄN</t>
        </is>
      </c>
      <c r="G339" t="inlineStr">
        <is>
          <t>TANUM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46319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30322-2026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46207</v>
      </c>
      <c r="E341" s="1" t="n">
        <v>46319</v>
      </c>
      <c r="F341" t="inlineStr">
        <is>
          <t>VÄSTRA GÖTALANDS LÄN</t>
        </is>
      </c>
      <c r="G341" t="inlineStr">
        <is>
          <t>TANUM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45369</v>
      </c>
      <c r="E342" s="1" t="n">
        <v>46319</v>
      </c>
      <c r="F342" t="inlineStr">
        <is>
          <t>VÄSTRA GÖTALANDS LÄN</t>
        </is>
      </c>
      <c r="G342" t="inlineStr">
        <is>
          <t>TANUM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46319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Naturvårdsverket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46319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46319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46319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46276</v>
      </c>
      <c r="E347" s="1" t="n">
        <v>46319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46276</v>
      </c>
      <c r="E348" s="1" t="n">
        <v>46319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46319</v>
      </c>
      <c r="F349" t="inlineStr">
        <is>
          <t>VÄSTRA GÖTALANDS LÄN</t>
        </is>
      </c>
      <c r="G349" t="inlineStr">
        <is>
          <t>TANUM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45629</v>
      </c>
      <c r="E350" s="1" t="n">
        <v>46319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44719</v>
      </c>
      <c r="E351" s="1" t="n">
        <v>46319</v>
      </c>
      <c r="F351" t="inlineStr">
        <is>
          <t>VÄSTRA GÖTALANDS LÄN</t>
        </is>
      </c>
      <c r="G351" t="inlineStr">
        <is>
          <t>TANUM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46319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50935-2022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44867</v>
      </c>
      <c r="E353" s="1" t="n">
        <v>46319</v>
      </c>
      <c r="F353" t="inlineStr">
        <is>
          <t>VÄSTRA GÖTALANDS LÄN</t>
        </is>
      </c>
      <c r="G353" t="inlineStr">
        <is>
          <t>TANUM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46319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46319</v>
      </c>
      <c r="F355" t="inlineStr">
        <is>
          <t>VÄSTRA GÖTALANDS LÄN</t>
        </is>
      </c>
      <c r="G355" t="inlineStr">
        <is>
          <t>TANUM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46319</v>
      </c>
      <c r="F356" t="inlineStr">
        <is>
          <t>VÄSTRA GÖTALANDS LÄN</t>
        </is>
      </c>
      <c r="G356" t="inlineStr">
        <is>
          <t>TANUM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45279</v>
      </c>
      <c r="E357" s="1" t="n">
        <v>46319</v>
      </c>
      <c r="F357" t="inlineStr">
        <is>
          <t>VÄSTRA GÖTALANDS LÄN</t>
        </is>
      </c>
      <c r="G357" t="inlineStr">
        <is>
          <t>TANUM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46319</v>
      </c>
      <c r="F358" t="inlineStr">
        <is>
          <t>VÄSTRA GÖTALANDS LÄN</t>
        </is>
      </c>
      <c r="G358" t="inlineStr">
        <is>
          <t>TANUM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46319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44946</v>
      </c>
      <c r="E360" s="1" t="n">
        <v>46319</v>
      </c>
      <c r="F360" t="inlineStr">
        <is>
          <t>VÄSTRA GÖTALANDS LÄN</t>
        </is>
      </c>
      <c r="G360" t="inlineStr">
        <is>
          <t>TANUM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44969</v>
      </c>
      <c r="E361" s="1" t="n">
        <v>46319</v>
      </c>
      <c r="F361" t="inlineStr">
        <is>
          <t>VÄSTRA GÖTALANDS LÄN</t>
        </is>
      </c>
      <c r="G361" t="inlineStr">
        <is>
          <t>TANUM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44954</v>
      </c>
      <c r="E362" s="1" t="n">
        <v>46319</v>
      </c>
      <c r="F362" t="inlineStr">
        <is>
          <t>VÄSTRA GÖTALANDS LÄN</t>
        </is>
      </c>
      <c r="G362" t="inlineStr">
        <is>
          <t>TANUM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59506-2024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46319</v>
      </c>
      <c r="F363" t="inlineStr">
        <is>
          <t>VÄSTRA GÖTALANDS LÄN</t>
        </is>
      </c>
      <c r="G363" t="inlineStr">
        <is>
          <t>TANUM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45102</v>
      </c>
      <c r="E364" s="1" t="n">
        <v>46319</v>
      </c>
      <c r="F364" t="inlineStr">
        <is>
          <t>VÄSTRA GÖTALANDS LÄN</t>
        </is>
      </c>
      <c r="G364" t="inlineStr">
        <is>
          <t>TANUM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46319</v>
      </c>
      <c r="F365" t="inlineStr">
        <is>
          <t>VÄSTRA GÖTALANDS LÄN</t>
        </is>
      </c>
      <c r="G365" t="inlineStr">
        <is>
          <t>TANUM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44997</v>
      </c>
      <c r="E366" s="1" t="n">
        <v>46319</v>
      </c>
      <c r="F366" t="inlineStr">
        <is>
          <t>VÄSTRA GÖTALANDS LÄN</t>
        </is>
      </c>
      <c r="G366" t="inlineStr">
        <is>
          <t>TANUM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45659</v>
      </c>
      <c r="E367" s="1" t="n">
        <v>46319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46319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46319</v>
      </c>
      <c r="F369" t="inlineStr">
        <is>
          <t>VÄSTRA GÖTALANDS LÄN</t>
        </is>
      </c>
      <c r="G369" t="inlineStr">
        <is>
          <t>TANUM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45005</v>
      </c>
      <c r="E370" s="1" t="n">
        <v>46319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46319</v>
      </c>
      <c r="F371" t="inlineStr">
        <is>
          <t>VÄSTRA GÖTALANDS LÄN</t>
        </is>
      </c>
      <c r="G371" t="inlineStr">
        <is>
          <t>TANUM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45026</v>
      </c>
      <c r="E372" s="1" t="n">
        <v>46319</v>
      </c>
      <c r="F372" t="inlineStr">
        <is>
          <t>VÄSTRA GÖTALANDS LÄN</t>
        </is>
      </c>
      <c r="G372" t="inlineStr">
        <is>
          <t>TANUM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46319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44832</v>
      </c>
      <c r="E374" s="1" t="n">
        <v>46319</v>
      </c>
      <c r="F374" t="inlineStr">
        <is>
          <t>VÄSTRA GÖTALANDS LÄN</t>
        </is>
      </c>
      <c r="G374" t="inlineStr">
        <is>
          <t>TANUM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46319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44807</v>
      </c>
      <c r="E376" s="1" t="n">
        <v>46319</v>
      </c>
      <c r="F376" t="inlineStr">
        <is>
          <t>VÄSTRA GÖTALANDS LÄN</t>
        </is>
      </c>
      <c r="G376" t="inlineStr">
        <is>
          <t>TANUM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46319</v>
      </c>
      <c r="F377" t="inlineStr">
        <is>
          <t>VÄSTRA GÖTALANDS LÄN</t>
        </is>
      </c>
      <c r="G377" t="inlineStr">
        <is>
          <t>TANUM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45739</v>
      </c>
      <c r="E378" s="1" t="n">
        <v>46319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45744</v>
      </c>
      <c r="E379" s="1" t="n">
        <v>46319</v>
      </c>
      <c r="F379" t="inlineStr">
        <is>
          <t>VÄSTRA GÖTALANDS LÄN</t>
        </is>
      </c>
      <c r="G379" t="inlineStr">
        <is>
          <t>TANUM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46319</v>
      </c>
      <c r="F380" t="inlineStr">
        <is>
          <t>VÄSTRA GÖTALANDS LÄN</t>
        </is>
      </c>
      <c r="G380" t="inlineStr">
        <is>
          <t>TANUM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46319</v>
      </c>
      <c r="F381" t="inlineStr">
        <is>
          <t>VÄSTRA GÖTALANDS LÄN</t>
        </is>
      </c>
      <c r="G381" t="inlineStr">
        <is>
          <t>TANUM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45063</v>
      </c>
      <c r="E382" s="1" t="n">
        <v>46319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46319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55995-2022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46319</v>
      </c>
      <c r="F384" t="inlineStr">
        <is>
          <t>VÄSTRA GÖTALANDS LÄN</t>
        </is>
      </c>
      <c r="G384" t="inlineStr">
        <is>
          <t>TANUM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46319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46319</v>
      </c>
      <c r="F386" t="inlineStr">
        <is>
          <t>VÄSTRA GÖTALANDS LÄN</t>
        </is>
      </c>
      <c r="G386" t="inlineStr">
        <is>
          <t>TANUM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45293</v>
      </c>
      <c r="E387" s="1" t="n">
        <v>46319</v>
      </c>
      <c r="F387" t="inlineStr">
        <is>
          <t>VÄSTRA GÖTALANDS LÄN</t>
        </is>
      </c>
      <c r="G387" t="inlineStr">
        <is>
          <t>TANUM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46319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61241-2024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46319</v>
      </c>
      <c r="F389" t="inlineStr">
        <is>
          <t>VÄSTRA GÖTALANDS LÄN</t>
        </is>
      </c>
      <c r="G389" t="inlineStr">
        <is>
          <t>TANUM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46319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44817</v>
      </c>
      <c r="E391" s="1" t="n">
        <v>46319</v>
      </c>
      <c r="F391" t="inlineStr">
        <is>
          <t>VÄSTRA GÖTALANDS LÄN</t>
        </is>
      </c>
      <c r="G391" t="inlineStr">
        <is>
          <t>TANUM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45469</v>
      </c>
      <c r="E392" s="1" t="n">
        <v>46319</v>
      </c>
      <c r="F392" t="inlineStr">
        <is>
          <t>VÄSTRA GÖTALANDS LÄN</t>
        </is>
      </c>
      <c r="G392" t="inlineStr">
        <is>
          <t>TANUM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45488</v>
      </c>
      <c r="E393" s="1" t="n">
        <v>46319</v>
      </c>
      <c r="F393" t="inlineStr">
        <is>
          <t>VÄSTRA GÖTALANDS LÄN</t>
        </is>
      </c>
      <c r="G393" t="inlineStr">
        <is>
          <t>TANUM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46319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46319</v>
      </c>
      <c r="F395" t="inlineStr">
        <is>
          <t>VÄSTRA GÖTALANDS LÄN</t>
        </is>
      </c>
      <c r="G395" t="inlineStr">
        <is>
          <t>TANUM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46319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44999</v>
      </c>
      <c r="E397" s="1" t="n">
        <v>46319</v>
      </c>
      <c r="F397" t="inlineStr">
        <is>
          <t>VÄSTRA GÖTALANDS LÄN</t>
        </is>
      </c>
      <c r="G397" t="inlineStr">
        <is>
          <t>TANUM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45384</v>
      </c>
      <c r="E398" s="1" t="n">
        <v>46319</v>
      </c>
      <c r="F398" t="inlineStr">
        <is>
          <t>VÄSTRA GÖTALANDS LÄN</t>
        </is>
      </c>
      <c r="G398" t="inlineStr">
        <is>
          <t>TANUM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45384</v>
      </c>
      <c r="E399" s="1" t="n">
        <v>46319</v>
      </c>
      <c r="F399" t="inlineStr">
        <is>
          <t>VÄSTRA GÖTALANDS LÄN</t>
        </is>
      </c>
      <c r="G399" t="inlineStr">
        <is>
          <t>TANUM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14004-2024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46319</v>
      </c>
      <c r="F400" t="inlineStr">
        <is>
          <t>VÄSTRA GÖTALANDS LÄN</t>
        </is>
      </c>
      <c r="G400" t="inlineStr">
        <is>
          <t>TANUM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46319</v>
      </c>
      <c r="F401" t="inlineStr">
        <is>
          <t>VÄSTRA GÖTALANDS LÄN</t>
        </is>
      </c>
      <c r="G401" t="inlineStr">
        <is>
          <t>TANUM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44579</v>
      </c>
      <c r="E402" s="1" t="n">
        <v>46319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45698</v>
      </c>
      <c r="E403" s="1" t="n">
        <v>46319</v>
      </c>
      <c r="F403" t="inlineStr">
        <is>
          <t>VÄSTRA GÖTALANDS LÄN</t>
        </is>
      </c>
      <c r="G403" t="inlineStr">
        <is>
          <t>TANUM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46319</v>
      </c>
      <c r="F404" t="inlineStr">
        <is>
          <t>VÄSTRA GÖTALANDS LÄN</t>
        </is>
      </c>
      <c r="G404" t="inlineStr">
        <is>
          <t>TANUM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72227-2021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44544</v>
      </c>
      <c r="E405" s="1" t="n">
        <v>46319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44572</v>
      </c>
      <c r="E406" s="1" t="n">
        <v>46319</v>
      </c>
      <c r="F406" t="inlineStr">
        <is>
          <t>VÄSTRA GÖTALANDS LÄN</t>
        </is>
      </c>
      <c r="G406" t="inlineStr">
        <is>
          <t>TANUM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46319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44522</v>
      </c>
      <c r="E408" s="1" t="n">
        <v>46319</v>
      </c>
      <c r="F408" t="inlineStr">
        <is>
          <t>VÄSTRA GÖTALANDS LÄN</t>
        </is>
      </c>
      <c r="G408" t="inlineStr">
        <is>
          <t>TANUM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46319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44613</v>
      </c>
      <c r="E410" s="1" t="n">
        <v>46319</v>
      </c>
      <c r="F410" t="inlineStr">
        <is>
          <t>VÄSTRA GÖTALANDS LÄN</t>
        </is>
      </c>
      <c r="G410" t="inlineStr">
        <is>
          <t>TANUM</t>
        </is>
      </c>
      <c r="I410" t="n">
        <v>10.6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46319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44591</v>
      </c>
      <c r="E412" s="1" t="n">
        <v>46319</v>
      </c>
      <c r="F412" t="inlineStr">
        <is>
          <t>VÄSTRA GÖTALANDS LÄN</t>
        </is>
      </c>
      <c r="G412" t="inlineStr">
        <is>
          <t>TANUM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64990-2021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44514</v>
      </c>
      <c r="E413" s="1" t="n">
        <v>46319</v>
      </c>
      <c r="F413" t="inlineStr">
        <is>
          <t>VÄSTRA GÖTALANDS LÄN</t>
        </is>
      </c>
      <c r="G413" t="inlineStr">
        <is>
          <t>TANUM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46319</v>
      </c>
      <c r="F414" t="inlineStr">
        <is>
          <t>VÄSTRA GÖTALANDS LÄN</t>
        </is>
      </c>
      <c r="G414" t="inlineStr">
        <is>
          <t>TANUM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45525</v>
      </c>
      <c r="E415" s="1" t="n">
        <v>46319</v>
      </c>
      <c r="F415" t="inlineStr">
        <is>
          <t>VÄSTRA GÖTALANDS LÄN</t>
        </is>
      </c>
      <c r="G415" t="inlineStr">
        <is>
          <t>TANUM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46319</v>
      </c>
      <c r="F416" t="inlineStr">
        <is>
          <t>VÄSTRA GÖTALANDS LÄN</t>
        </is>
      </c>
      <c r="G416" t="inlineStr">
        <is>
          <t>TANUM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68161-2021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44526</v>
      </c>
      <c r="E417" s="1" t="n">
        <v>46319</v>
      </c>
      <c r="F417" t="inlineStr">
        <is>
          <t>VÄSTRA GÖTALANDS LÄN</t>
        </is>
      </c>
      <c r="G417" t="inlineStr">
        <is>
          <t>TANUM</t>
        </is>
      </c>
      <c r="I417" t="n">
        <v>10.3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45446</v>
      </c>
      <c r="E418" s="1" t="n">
        <v>46319</v>
      </c>
      <c r="F418" t="inlineStr">
        <is>
          <t>VÄSTRA GÖTALANDS LÄN</t>
        </is>
      </c>
      <c r="G418" t="inlineStr">
        <is>
          <t>TANUM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49687-2024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45596</v>
      </c>
      <c r="E419" s="1" t="n">
        <v>46319</v>
      </c>
      <c r="F419" t="inlineStr">
        <is>
          <t>VÄSTRA GÖTALANDS LÄN</t>
        </is>
      </c>
      <c r="G419" t="inlineStr">
        <is>
          <t>TANUM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46319</v>
      </c>
      <c r="F420" t="inlineStr">
        <is>
          <t>VÄSTRA GÖTALANDS LÄN</t>
        </is>
      </c>
      <c r="G420" t="inlineStr">
        <is>
          <t>TANUM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46319</v>
      </c>
      <c r="F421" t="inlineStr">
        <is>
          <t>VÄSTRA GÖTALANDS LÄN</t>
        </is>
      </c>
      <c r="G421" t="inlineStr">
        <is>
          <t>TANUM</t>
        </is>
      </c>
      <c r="H421" t="inlineStr">
        <is>
          <t>Kyrkan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46319</v>
      </c>
      <c r="F422" t="inlineStr">
        <is>
          <t>VÄSTRA GÖTALANDS LÄN</t>
        </is>
      </c>
      <c r="G422" t="inlineStr">
        <is>
          <t>TANUM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10743-2022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44627</v>
      </c>
      <c r="E423" s="1" t="n">
        <v>46319</v>
      </c>
      <c r="F423" t="inlineStr">
        <is>
          <t>VÄSTRA GÖTALANDS LÄN</t>
        </is>
      </c>
      <c r="G423" t="inlineStr">
        <is>
          <t>TANUM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73810-2021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44552</v>
      </c>
      <c r="E424" s="1" t="n">
        <v>46319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46319</v>
      </c>
      <c r="F425" t="inlineStr">
        <is>
          <t>VÄSTRA GÖTALANDS LÄN</t>
        </is>
      </c>
      <c r="G425" t="inlineStr">
        <is>
          <t>TANUM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44606</v>
      </c>
      <c r="E426" s="1" t="n">
        <v>46319</v>
      </c>
      <c r="F426" t="inlineStr">
        <is>
          <t>VÄSTRA GÖTALANDS LÄN</t>
        </is>
      </c>
      <c r="G426" t="inlineStr">
        <is>
          <t>TANUM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45673</v>
      </c>
      <c r="E427" s="1" t="n">
        <v>46319</v>
      </c>
      <c r="F427" t="inlineStr">
        <is>
          <t>VÄSTRA GÖTALANDS LÄN</t>
        </is>
      </c>
      <c r="G427" t="inlineStr">
        <is>
          <t>TANUM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20190-2022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44698</v>
      </c>
      <c r="E428" s="1" t="n">
        <v>46319</v>
      </c>
      <c r="F428" t="inlineStr">
        <is>
          <t>VÄSTRA GÖTALANDS LÄN</t>
        </is>
      </c>
      <c r="G428" t="inlineStr">
        <is>
          <t>TANUM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46319</v>
      </c>
      <c r="F429" t="inlineStr">
        <is>
          <t>VÄSTRA GÖTALANDS LÄN</t>
        </is>
      </c>
      <c r="G429" t="inlineStr">
        <is>
          <t>TANUM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45085</v>
      </c>
      <c r="E430" s="1" t="n">
        <v>46319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45655</v>
      </c>
      <c r="E431" s="1" t="n">
        <v>46319</v>
      </c>
      <c r="F431" t="inlineStr">
        <is>
          <t>VÄSTRA GÖTALANDS LÄN</t>
        </is>
      </c>
      <c r="G431" t="inlineStr">
        <is>
          <t>TANUM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46319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45085</v>
      </c>
      <c r="E433" s="1" t="n">
        <v>46319</v>
      </c>
      <c r="F433" t="inlineStr">
        <is>
          <t>VÄSTRA GÖTALANDS LÄN</t>
        </is>
      </c>
      <c r="G433" t="inlineStr">
        <is>
          <t>TANUM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46319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46319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46319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46319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44651</v>
      </c>
      <c r="E438" s="1" t="n">
        <v>46319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46319</v>
      </c>
      <c r="F439" t="inlineStr">
        <is>
          <t>VÄSTRA GÖTALANDS LÄN</t>
        </is>
      </c>
      <c r="G439" t="inlineStr">
        <is>
          <t>TANUM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44792</v>
      </c>
      <c r="E440" s="1" t="n">
        <v>46319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46319</v>
      </c>
      <c r="F441" t="inlineStr">
        <is>
          <t>VÄSTRA GÖTALANDS LÄN</t>
        </is>
      </c>
      <c r="G441" t="inlineStr">
        <is>
          <t>TANUM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46319</v>
      </c>
      <c r="F442" t="inlineStr">
        <is>
          <t>VÄSTRA GÖTALANDS LÄN</t>
        </is>
      </c>
      <c r="G442" t="inlineStr">
        <is>
          <t>TANUM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46319</v>
      </c>
      <c r="F443" t="inlineStr">
        <is>
          <t>VÄSTRA GÖTALANDS LÄN</t>
        </is>
      </c>
      <c r="G443" t="inlineStr">
        <is>
          <t>TANUM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44799</v>
      </c>
      <c r="E444" s="1" t="n">
        <v>46319</v>
      </c>
      <c r="F444" t="inlineStr">
        <is>
          <t>VÄSTRA GÖTALANDS LÄN</t>
        </is>
      </c>
      <c r="G444" t="inlineStr">
        <is>
          <t>TANUM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46319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46319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24116-2022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44725</v>
      </c>
      <c r="E447" s="1" t="n">
        <v>46319</v>
      </c>
      <c r="F447" t="inlineStr">
        <is>
          <t>VÄSTRA GÖTALANDS LÄN</t>
        </is>
      </c>
      <c r="G447" t="inlineStr">
        <is>
          <t>TANUM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46319</v>
      </c>
      <c r="F448" t="inlineStr">
        <is>
          <t>VÄSTRA GÖTALANDS LÄN</t>
        </is>
      </c>
      <c r="G448" t="inlineStr">
        <is>
          <t>TANUM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44799</v>
      </c>
      <c r="E449" s="1" t="n">
        <v>46319</v>
      </c>
      <c r="F449" t="inlineStr">
        <is>
          <t>VÄSTRA GÖTALANDS LÄN</t>
        </is>
      </c>
      <c r="G449" t="inlineStr">
        <is>
          <t>TANUM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46319</v>
      </c>
      <c r="F450" t="inlineStr">
        <is>
          <t>VÄSTRA GÖTALANDS LÄN</t>
        </is>
      </c>
      <c r="G450" t="inlineStr">
        <is>
          <t>TANUM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46319</v>
      </c>
      <c r="F451" t="inlineStr">
        <is>
          <t>VÄSTRA GÖTALANDS LÄN</t>
        </is>
      </c>
      <c r="G451" t="inlineStr">
        <is>
          <t>TANUM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46319</v>
      </c>
      <c r="F452" t="inlineStr">
        <is>
          <t>VÄSTRA GÖTALANDS LÄN</t>
        </is>
      </c>
      <c r="G452" t="inlineStr">
        <is>
          <t>TANUM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46319</v>
      </c>
      <c r="F453" t="inlineStr">
        <is>
          <t>VÄSTRA GÖTALANDS LÄN</t>
        </is>
      </c>
      <c r="G453" t="inlineStr">
        <is>
          <t>TANUM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46319</v>
      </c>
      <c r="F454" t="inlineStr">
        <is>
          <t>VÄSTRA GÖTALANDS LÄN</t>
        </is>
      </c>
      <c r="G454" t="inlineStr">
        <is>
          <t>TANUM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46319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60624-2021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44496</v>
      </c>
      <c r="E456" s="1" t="n">
        <v>46319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45278</v>
      </c>
      <c r="E457" s="1" t="n">
        <v>46319</v>
      </c>
      <c r="F457" t="inlineStr">
        <is>
          <t>VÄSTRA GÖTALANDS LÄN</t>
        </is>
      </c>
      <c r="G457" t="inlineStr">
        <is>
          <t>TANUM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45104</v>
      </c>
      <c r="E458" s="1" t="n">
        <v>46319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45628</v>
      </c>
      <c r="E459" s="1" t="n">
        <v>46319</v>
      </c>
      <c r="F459" t="inlineStr">
        <is>
          <t>VÄSTRA GÖTALANDS LÄN</t>
        </is>
      </c>
      <c r="G459" t="inlineStr">
        <is>
          <t>TANUM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45265</v>
      </c>
      <c r="E460" s="1" t="n">
        <v>46319</v>
      </c>
      <c r="F460" t="inlineStr">
        <is>
          <t>VÄSTRA GÖTALANDS LÄN</t>
        </is>
      </c>
      <c r="G460" t="inlineStr">
        <is>
          <t>TANUM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46319</v>
      </c>
      <c r="F461" t="inlineStr">
        <is>
          <t>VÄSTRA GÖTALANDS LÄN</t>
        </is>
      </c>
      <c r="G461" t="inlineStr">
        <is>
          <t>TANUM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46319</v>
      </c>
      <c r="F462" t="inlineStr">
        <is>
          <t>VÄSTRA GÖTALANDS LÄN</t>
        </is>
      </c>
      <c r="G462" t="inlineStr">
        <is>
          <t>TANUM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45303</v>
      </c>
      <c r="E463" s="1" t="n">
        <v>46319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44897</v>
      </c>
      <c r="E464" s="1" t="n">
        <v>46319</v>
      </c>
      <c r="F464" t="inlineStr">
        <is>
          <t>VÄSTRA GÖTALANDS LÄN</t>
        </is>
      </c>
      <c r="G464" t="inlineStr">
        <is>
          <t>TANUM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44585</v>
      </c>
      <c r="E465" s="1" t="n">
        <v>46319</v>
      </c>
      <c r="F465" t="inlineStr">
        <is>
          <t>VÄSTRA GÖTALANDS LÄN</t>
        </is>
      </c>
      <c r="G465" t="inlineStr">
        <is>
          <t>TANUM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44908</v>
      </c>
      <c r="E466" s="1" t="n">
        <v>46319</v>
      </c>
      <c r="F466" t="inlineStr">
        <is>
          <t>VÄSTRA GÖTALANDS LÄN</t>
        </is>
      </c>
      <c r="G466" t="inlineStr">
        <is>
          <t>TANUM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44573</v>
      </c>
      <c r="E467" s="1" t="n">
        <v>46319</v>
      </c>
      <c r="F467" t="inlineStr">
        <is>
          <t>VÄSTRA GÖTALANDS LÄN</t>
        </is>
      </c>
      <c r="G467" t="inlineStr">
        <is>
          <t>TANUM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46319</v>
      </c>
      <c r="F468" t="inlineStr">
        <is>
          <t>VÄSTRA GÖTALANDS LÄN</t>
        </is>
      </c>
      <c r="G468" t="inlineStr">
        <is>
          <t>TANUM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46319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46319</v>
      </c>
      <c r="F470" t="inlineStr">
        <is>
          <t>VÄSTRA GÖTALANDS LÄN</t>
        </is>
      </c>
      <c r="G470" t="inlineStr">
        <is>
          <t>TANUM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46319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46319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46319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46319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46319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46319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2026-10-24T02:02:59Z</dcterms:created>
  <dcterms:modified xmlns:dcterms="http://purl.org/dc/terms/" xmlns:xsi="http://www.w3.org/2001/XMLSchema-instance" xsi:type="dcterms:W3CDTF">2026-10-24T02:02:59Z</dcterms:modified>
</cp:coreProperties>
</file>