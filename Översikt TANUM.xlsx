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46205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46205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46205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46205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46205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s="1" t="n">
        <v>46029</v>
      </c>
      <c r="C7" s="1" t="n">
        <v>46205</v>
      </c>
      <c r="D7" t="inlineStr">
        <is>
          <t>VÄSTRA GÖTALANDS LÄN</t>
        </is>
      </c>
      <c r="E7" t="inlineStr">
        <is>
          <t>TANUM</t>
        </is>
      </c>
      <c r="G7" t="n">
        <v>1.6</v>
      </c>
      <c r="H7" t="n">
        <v>8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Tornseglare
Gulsparv
Ladusvala
Sädesärla
Nattskärra
Buskskvätta
Kråka
Kungsfågel</t>
        </is>
      </c>
      <c r="S7">
        <f>HYPERLINK("https://klasma.github.io/Logging_1435/artfynd/A 875-2026 artfynd.xlsx", "A 875-2026")</f>
        <v/>
      </c>
      <c r="T7">
        <f>HYPERLINK("https://klasma.github.io/Logging_1435/kartor/A 875-2026 karta.png", "A 875-2026")</f>
        <v/>
      </c>
      <c r="V7">
        <f>HYPERLINK("https://klasma.github.io/Logging_1435/klagomål/A 875-2026 FSC-klagomål.docx", "A 875-2026")</f>
        <v/>
      </c>
      <c r="W7">
        <f>HYPERLINK("https://klasma.github.io/Logging_1435/klagomålsmail/A 875-2026 FSC-klagomål mail.docx", "A 875-2026")</f>
        <v/>
      </c>
      <c r="X7">
        <f>HYPERLINK("https://klasma.github.io/Logging_1435/tillsyn/A 875-2026 tillsynsbegäran.docx", "A 875-2026")</f>
        <v/>
      </c>
      <c r="Y7">
        <f>HYPERLINK("https://klasma.github.io/Logging_1435/tillsynsmail/A 875-2026 tillsynsbegäran mail.docx", "A 875-2026")</f>
        <v/>
      </c>
      <c r="Z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s="1" t="n">
        <v>45637</v>
      </c>
      <c r="C8" s="1" t="n">
        <v>46205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Grönsångare
Gullpudra
Gulsparv
Dvärghäxört
Strutbräken
Grönsiska
Kungsfågel
Svartvit flugsnappare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46205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46205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46205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46205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46205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46205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46205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10901-2025</t>
        </is>
      </c>
      <c r="B16" s="1" t="n">
        <v>45722</v>
      </c>
      <c r="C16" s="1" t="n">
        <v>46205</v>
      </c>
      <c r="D16" t="inlineStr">
        <is>
          <t>VÄSTRA GÖTALANDS LÄN</t>
        </is>
      </c>
      <c r="E16" t="inlineStr">
        <is>
          <t>TANUM</t>
        </is>
      </c>
      <c r="G16" t="n">
        <v>4.6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Blåmossa
Rävticka
Västlig hakmossa
Vågbandad barkbock</t>
        </is>
      </c>
      <c r="S16">
        <f>HYPERLINK("https://klasma.github.io/Logging_1435/artfynd/A 10901-2025 artfynd.xlsx", "A 10901-2025")</f>
        <v/>
      </c>
      <c r="T16">
        <f>HYPERLINK("https://klasma.github.io/Logging_1435/kartor/A 10901-2025 karta.png", "A 10901-2025")</f>
        <v/>
      </c>
      <c r="V16">
        <f>HYPERLINK("https://klasma.github.io/Logging_1435/klagomål/A 10901-2025 FSC-klagomål.docx", "A 10901-2025")</f>
        <v/>
      </c>
      <c r="W16">
        <f>HYPERLINK("https://klasma.github.io/Logging_1435/klagomålsmail/A 10901-2025 FSC-klagomål mail.docx", "A 10901-2025")</f>
        <v/>
      </c>
      <c r="X16">
        <f>HYPERLINK("https://klasma.github.io/Logging_1435/tillsyn/A 10901-2025 tillsynsbegäran.docx", "A 10901-2025")</f>
        <v/>
      </c>
      <c r="Y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46205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46205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46205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46205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46205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46205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40145-2021</t>
        </is>
      </c>
      <c r="B23" s="1" t="n">
        <v>44418</v>
      </c>
      <c r="C23" s="1" t="n">
        <v>46205</v>
      </c>
      <c r="D23" t="inlineStr">
        <is>
          <t>VÄSTRA GÖTALANDS LÄN</t>
        </is>
      </c>
      <c r="E23" t="inlineStr">
        <is>
          <t>TANUM</t>
        </is>
      </c>
      <c r="G23" t="n">
        <v>1.9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Åkerkulla</t>
        </is>
      </c>
      <c r="S23">
        <f>HYPERLINK("https://klasma.github.io/Logging_1435/artfynd/A 40145-2021 artfynd.xlsx", "A 40145-2021")</f>
        <v/>
      </c>
      <c r="T23">
        <f>HYPERLINK("https://klasma.github.io/Logging_1435/kartor/A 40145-2021 karta.png", "A 40145-2021")</f>
        <v/>
      </c>
      <c r="V23">
        <f>HYPERLINK("https://klasma.github.io/Logging_1435/klagomål/A 40145-2021 FSC-klagomål.docx", "A 40145-2021")</f>
        <v/>
      </c>
      <c r="W23">
        <f>HYPERLINK("https://klasma.github.io/Logging_1435/klagomålsmail/A 40145-2021 FSC-klagomål mail.docx", "A 40145-2021")</f>
        <v/>
      </c>
      <c r="X23">
        <f>HYPERLINK("https://klasma.github.io/Logging_1435/tillsyn/A 40145-2021 tillsynsbegäran.docx", "A 40145-2021")</f>
        <v/>
      </c>
      <c r="Y23">
        <f>HYPERLINK("https://klasma.github.io/Logging_1435/tillsynsmail/A 40145-2021 tillsynsbegäran mail.docx", "A 40145-2021")</f>
        <v/>
      </c>
    </row>
    <row r="24" ht="15" customHeight="1">
      <c r="A24" t="inlineStr">
        <is>
          <t>A 8586-2022</t>
        </is>
      </c>
      <c r="B24" s="1" t="n">
        <v>44613</v>
      </c>
      <c r="C24" s="1" t="n">
        <v>46205</v>
      </c>
      <c r="D24" t="inlineStr">
        <is>
          <t>VÄSTRA GÖTALANDS LÄN</t>
        </is>
      </c>
      <c r="E24" t="inlineStr">
        <is>
          <t>TANUM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Spillkråka</t>
        </is>
      </c>
      <c r="S24">
        <f>HYPERLINK("https://klasma.github.io/Logging_1435/artfynd/A 8586-2022 artfynd.xlsx", "A 8586-2022")</f>
        <v/>
      </c>
      <c r="T24">
        <f>HYPERLINK("https://klasma.github.io/Logging_1435/kartor/A 8586-2022 karta.png", "A 8586-2022")</f>
        <v/>
      </c>
      <c r="V24">
        <f>HYPERLINK("https://klasma.github.io/Logging_1435/klagomål/A 8586-2022 FSC-klagomål.docx", "A 8586-2022")</f>
        <v/>
      </c>
      <c r="W24">
        <f>HYPERLINK("https://klasma.github.io/Logging_1435/klagomålsmail/A 8586-2022 FSC-klagomål mail.docx", "A 8586-2022")</f>
        <v/>
      </c>
      <c r="X24">
        <f>HYPERLINK("https://klasma.github.io/Logging_1435/tillsyn/A 8586-2022 tillsynsbegäran.docx", "A 8586-2022")</f>
        <v/>
      </c>
      <c r="Y24">
        <f>HYPERLINK("https://klasma.github.io/Logging_1435/tillsynsmail/A 8586-2022 tillsynsbegäran mail.docx", "A 8586-2022")</f>
        <v/>
      </c>
      <c r="Z24">
        <f>HYPERLINK("https://klasma.github.io/Logging_1435/fåglar/A 8586-2022 prioriterade fågelarter.docx", "A 8586-2022")</f>
        <v/>
      </c>
    </row>
    <row r="25" ht="15" customHeight="1">
      <c r="A25" t="inlineStr">
        <is>
          <t>A 63439-2023</t>
        </is>
      </c>
      <c r="B25" s="1" t="n">
        <v>45274</v>
      </c>
      <c r="C25" s="1" t="n">
        <v>46205</v>
      </c>
      <c r="D25" t="inlineStr">
        <is>
          <t>VÄSTRA GÖTALANDS LÄN</t>
        </is>
      </c>
      <c r="E25" t="inlineStr">
        <is>
          <t>TANUM</t>
        </is>
      </c>
      <c r="F25" t="inlineStr">
        <is>
          <t>Sveaskog</t>
        </is>
      </c>
      <c r="G25" t="n">
        <v>5.7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Lopplummer (aggregat)
Revlummer</t>
        </is>
      </c>
      <c r="S25">
        <f>HYPERLINK("https://klasma.github.io/Logging_1435/artfynd/A 63439-2023 artfynd.xlsx", "A 63439-2023")</f>
        <v/>
      </c>
      <c r="T25">
        <f>HYPERLINK("https://klasma.github.io/Logging_1435/kartor/A 63439-2023 karta.png", "A 63439-2023")</f>
        <v/>
      </c>
      <c r="V25">
        <f>HYPERLINK("https://klasma.github.io/Logging_1435/klagomål/A 63439-2023 FSC-klagomål.docx", "A 63439-2023")</f>
        <v/>
      </c>
      <c r="W25">
        <f>HYPERLINK("https://klasma.github.io/Logging_1435/klagomålsmail/A 63439-2023 FSC-klagomål mail.docx", "A 63439-2023")</f>
        <v/>
      </c>
      <c r="X25">
        <f>HYPERLINK("https://klasma.github.io/Logging_1435/tillsyn/A 63439-2023 tillsynsbegäran.docx", "A 63439-2023")</f>
        <v/>
      </c>
      <c r="Y25">
        <f>HYPERLINK("https://klasma.github.io/Logging_1435/tillsynsmail/A 63439-2023 tillsynsbegäran mail.docx", "A 63439-2023")</f>
        <v/>
      </c>
    </row>
    <row r="26" ht="15" customHeight="1">
      <c r="A26" t="inlineStr">
        <is>
          <t>A 3497-2024</t>
        </is>
      </c>
      <c r="B26" s="1" t="n">
        <v>45317</v>
      </c>
      <c r="C26" s="1" t="n">
        <v>46205</v>
      </c>
      <c r="D26" t="inlineStr">
        <is>
          <t>VÄSTRA GÖTALANDS LÄN</t>
        </is>
      </c>
      <c r="E26" t="inlineStr">
        <is>
          <t>TANUM</t>
        </is>
      </c>
      <c r="G26" t="n">
        <v>0.3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Västlig hakmossa</t>
        </is>
      </c>
      <c r="S26">
        <f>HYPERLINK("https://klasma.github.io/Logging_1435/artfynd/A 3497-2024 artfynd.xlsx", "A 3497-2024")</f>
        <v/>
      </c>
      <c r="T26">
        <f>HYPERLINK("https://klasma.github.io/Logging_1435/kartor/A 3497-2024 karta.png", "A 3497-2024")</f>
        <v/>
      </c>
      <c r="V26">
        <f>HYPERLINK("https://klasma.github.io/Logging_1435/klagomål/A 3497-2024 FSC-klagomål.docx", "A 3497-2024")</f>
        <v/>
      </c>
      <c r="W26">
        <f>HYPERLINK("https://klasma.github.io/Logging_1435/klagomålsmail/A 3497-2024 FSC-klagomål mail.docx", "A 3497-2024")</f>
        <v/>
      </c>
      <c r="X26">
        <f>HYPERLINK("https://klasma.github.io/Logging_1435/tillsyn/A 3497-2024 tillsynsbegäran.docx", "A 3497-2024")</f>
        <v/>
      </c>
      <c r="Y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s="1" t="n">
        <v>46141</v>
      </c>
      <c r="C27" s="1" t="n">
        <v>46205</v>
      </c>
      <c r="D27" t="inlineStr">
        <is>
          <t>VÄSTRA GÖTALANDS LÄN</t>
        </is>
      </c>
      <c r="E27" t="inlineStr">
        <is>
          <t>TANUM</t>
        </is>
      </c>
      <c r="G27" t="n">
        <v>4.9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Rödgul trumpetsvamp</t>
        </is>
      </c>
      <c r="S27">
        <f>HYPERLINK("https://klasma.github.io/Logging_1435/artfynd/A 20799-2026 artfynd.xlsx", "A 20799-2026")</f>
        <v/>
      </c>
      <c r="T27">
        <f>HYPERLINK("https://klasma.github.io/Logging_1435/kartor/A 20799-2026 karta.png", "A 20799-2026")</f>
        <v/>
      </c>
      <c r="V27">
        <f>HYPERLINK("https://klasma.github.io/Logging_1435/klagomål/A 20799-2026 FSC-klagomål.docx", "A 20799-2026")</f>
        <v/>
      </c>
      <c r="W27">
        <f>HYPERLINK("https://klasma.github.io/Logging_1435/klagomålsmail/A 20799-2026 FSC-klagomål mail.docx", "A 20799-2026")</f>
        <v/>
      </c>
      <c r="X27">
        <f>HYPERLINK("https://klasma.github.io/Logging_1435/tillsyn/A 20799-2026 tillsynsbegäran.docx", "A 20799-2026")</f>
        <v/>
      </c>
      <c r="Y27">
        <f>HYPERLINK("https://klasma.github.io/Logging_1435/tillsynsmail/A 20799-2026 tillsynsbegäran mail.docx", "A 20799-2026")</f>
        <v/>
      </c>
    </row>
    <row r="28" ht="15" customHeight="1">
      <c r="A28" t="inlineStr">
        <is>
          <t>A 36154-2024</t>
        </is>
      </c>
      <c r="B28" s="1" t="n">
        <v>45534</v>
      </c>
      <c r="C28" s="1" t="n">
        <v>46205</v>
      </c>
      <c r="D28" t="inlineStr">
        <is>
          <t>VÄSTRA GÖTALANDS LÄN</t>
        </is>
      </c>
      <c r="E28" t="inlineStr">
        <is>
          <t>TANUM</t>
        </is>
      </c>
      <c r="G28" t="n">
        <v>1.8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Rävticka</t>
        </is>
      </c>
      <c r="S28">
        <f>HYPERLINK("https://klasma.github.io/Logging_1435/artfynd/A 36154-2024 artfynd.xlsx", "A 36154-2024")</f>
        <v/>
      </c>
      <c r="T28">
        <f>HYPERLINK("https://klasma.github.io/Logging_1435/kartor/A 36154-2024 karta.png", "A 36154-2024")</f>
        <v/>
      </c>
      <c r="V28">
        <f>HYPERLINK("https://klasma.github.io/Logging_1435/klagomål/A 36154-2024 FSC-klagomål.docx", "A 36154-2024")</f>
        <v/>
      </c>
      <c r="W28">
        <f>HYPERLINK("https://klasma.github.io/Logging_1435/klagomålsmail/A 36154-2024 FSC-klagomål mail.docx", "A 36154-2024")</f>
        <v/>
      </c>
      <c r="X28">
        <f>HYPERLINK("https://klasma.github.io/Logging_1435/tillsyn/A 36154-2024 tillsynsbegäran.docx", "A 36154-2024")</f>
        <v/>
      </c>
      <c r="Y28">
        <f>HYPERLINK("https://klasma.github.io/Logging_1435/tillsynsmail/A 36154-2024 tillsynsbegäran mail.docx", "A 36154-2024")</f>
        <v/>
      </c>
      <c r="Z28">
        <f>HYPERLINK("https://klasma.github.io/Logging_1435/fåglar/A 36154-2024 prioriterade fågelarter.docx", "A 36154-2024")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46205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46205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46205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46205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54814-2023</t>
        </is>
      </c>
      <c r="B33" s="1" t="n">
        <v>45236</v>
      </c>
      <c r="C33" s="1" t="n">
        <v>46205</v>
      </c>
      <c r="D33" t="inlineStr">
        <is>
          <t>VÄSTRA GÖTALANDS LÄN</t>
        </is>
      </c>
      <c r="E33" t="inlineStr">
        <is>
          <t>TANUM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54814-2023 artfynd.xlsx", "A 54814-2023")</f>
        <v/>
      </c>
      <c r="T33">
        <f>HYPERLINK("https://klasma.github.io/Logging_1435/kartor/A 54814-2023 karta.png", "A 54814-2023")</f>
        <v/>
      </c>
      <c r="V33">
        <f>HYPERLINK("https://klasma.github.io/Logging_1435/klagomål/A 54814-2023 FSC-klagomål.docx", "A 54814-2023")</f>
        <v/>
      </c>
      <c r="W33">
        <f>HYPERLINK("https://klasma.github.io/Logging_1435/klagomålsmail/A 54814-2023 FSC-klagomål mail.docx", "A 54814-2023")</f>
        <v/>
      </c>
      <c r="X33">
        <f>HYPERLINK("https://klasma.github.io/Logging_1435/tillsyn/A 54814-2023 tillsynsbegäran.docx", "A 54814-2023")</f>
        <v/>
      </c>
      <c r="Y33">
        <f>HYPERLINK("https://klasma.github.io/Logging_1435/tillsynsmail/A 54814-2023 tillsynsbegäran mail.docx", "A 54814-2023")</f>
        <v/>
      </c>
      <c r="Z33">
        <f>HYPERLINK("https://klasma.github.io/Logging_1435/fåglar/A 54814-2023 prioriterade fågelarter.docx", "A 54814-2023")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46205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46205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39358-2025</t>
        </is>
      </c>
      <c r="B36" s="1" t="n">
        <v>45889</v>
      </c>
      <c r="C36" s="1" t="n">
        <v>46205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36121-2025</t>
        </is>
      </c>
      <c r="B37" s="1" t="n">
        <v>45866</v>
      </c>
      <c r="C37" s="1" t="n">
        <v>46205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50891-2021</t>
        </is>
      </c>
      <c r="B38" s="1" t="n">
        <v>44460</v>
      </c>
      <c r="C38" s="1" t="n">
        <v>46205</v>
      </c>
      <c r="D38" t="inlineStr">
        <is>
          <t>VÄSTRA GÖTALANDS LÄN</t>
        </is>
      </c>
      <c r="E38" t="inlineStr">
        <is>
          <t>TANUM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HYPERLINK("https://klasma.github.io/Logging_1435/artfynd/A 50891-2021 artfynd.xlsx", "A 50891-2021")</f>
        <v/>
      </c>
      <c r="T38">
        <f>HYPERLINK("https://klasma.github.io/Logging_1435/kartor/A 50891-2021 karta.png", "A 50891-2021")</f>
        <v/>
      </c>
      <c r="V38">
        <f>HYPERLINK("https://klasma.github.io/Logging_1435/klagomål/A 50891-2021 FSC-klagomål.docx", "A 50891-2021")</f>
        <v/>
      </c>
      <c r="W38">
        <f>HYPERLINK("https://klasma.github.io/Logging_1435/klagomålsmail/A 50891-2021 FSC-klagomål mail.docx", "A 50891-2021")</f>
        <v/>
      </c>
      <c r="X38">
        <f>HYPERLINK("https://klasma.github.io/Logging_1435/tillsyn/A 50891-2021 tillsynsbegäran.docx", "A 50891-2021")</f>
        <v/>
      </c>
      <c r="Y38">
        <f>HYPERLINK("https://klasma.github.io/Logging_1435/tillsynsmail/A 50891-2021 tillsynsbegäran mail.docx", "A 50891-2021")</f>
        <v/>
      </c>
    </row>
    <row r="39" ht="15" customHeight="1">
      <c r="A39" t="inlineStr">
        <is>
          <t>A 125-2025</t>
        </is>
      </c>
      <c r="B39" s="1" t="n">
        <v>45649</v>
      </c>
      <c r="C39" s="1" t="n">
        <v>46205</v>
      </c>
      <c r="D39" t="inlineStr">
        <is>
          <t>VÄSTRA GÖTALANDS LÄN</t>
        </is>
      </c>
      <c r="E39" t="inlineStr">
        <is>
          <t>TANUM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Stallört</t>
        </is>
      </c>
      <c r="S39">
        <f>HYPERLINK("https://klasma.github.io/Logging_1435/artfynd/A 125-2025 artfynd.xlsx", "A 125-2025")</f>
        <v/>
      </c>
      <c r="T39">
        <f>HYPERLINK("https://klasma.github.io/Logging_1435/kartor/A 125-2025 karta.png", "A 125-2025")</f>
        <v/>
      </c>
      <c r="V39">
        <f>HYPERLINK("https://klasma.github.io/Logging_1435/klagomål/A 125-2025 FSC-klagomål.docx", "A 125-2025")</f>
        <v/>
      </c>
      <c r="W39">
        <f>HYPERLINK("https://klasma.github.io/Logging_1435/klagomålsmail/A 125-2025 FSC-klagomål mail.docx", "A 125-2025")</f>
        <v/>
      </c>
      <c r="X39">
        <f>HYPERLINK("https://klasma.github.io/Logging_1435/tillsyn/A 125-2025 tillsynsbegäran.docx", "A 125-2025")</f>
        <v/>
      </c>
      <c r="Y39">
        <f>HYPERLINK("https://klasma.github.io/Logging_1435/tillsynsmail/A 125-2025 tillsynsbegäran mail.docx", "A 125-2025")</f>
        <v/>
      </c>
    </row>
    <row r="40" ht="15" customHeight="1">
      <c r="A40" t="inlineStr">
        <is>
          <t>A 57972-2025</t>
        </is>
      </c>
      <c r="B40" s="1" t="n">
        <v>45982</v>
      </c>
      <c r="C40" s="1" t="n">
        <v>46205</v>
      </c>
      <c r="D40" t="inlineStr">
        <is>
          <t>VÄSTRA GÖTALANDS LÄN</t>
        </is>
      </c>
      <c r="E40" t="inlineStr">
        <is>
          <t>TANUM</t>
        </is>
      </c>
      <c r="F40" t="inlineStr">
        <is>
          <t>Kyrkan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HYPERLINK("https://klasma.github.io/Logging_1435/artfynd/A 57972-2025 artfynd.xlsx", "A 57972-2025")</f>
        <v/>
      </c>
      <c r="T40">
        <f>HYPERLINK("https://klasma.github.io/Logging_1435/kartor/A 57972-2025 karta.png", "A 57972-2025")</f>
        <v/>
      </c>
      <c r="V40">
        <f>HYPERLINK("https://klasma.github.io/Logging_1435/klagomål/A 57972-2025 FSC-klagomål.docx", "A 57972-2025")</f>
        <v/>
      </c>
      <c r="W40">
        <f>HYPERLINK("https://klasma.github.io/Logging_1435/klagomålsmail/A 57972-2025 FSC-klagomål mail.docx", "A 57972-2025")</f>
        <v/>
      </c>
      <c r="X40">
        <f>HYPERLINK("https://klasma.github.io/Logging_1435/tillsyn/A 57972-2025 tillsynsbegäran.docx", "A 57972-2025")</f>
        <v/>
      </c>
      <c r="Y40">
        <f>HYPERLINK("https://klasma.github.io/Logging_1435/tillsynsmail/A 57972-2025 tillsynsbegäran mail.docx", "A 57972-2025")</f>
        <v/>
      </c>
      <c r="Z40">
        <f>HYPERLINK("https://klasma.github.io/Logging_1435/fåglar/A 57972-2025 prioriterade fågelarter.docx", "A 57972-2025")</f>
        <v/>
      </c>
    </row>
    <row r="41" ht="15" customHeight="1">
      <c r="A41" t="inlineStr">
        <is>
          <t>A 4208-2025</t>
        </is>
      </c>
      <c r="B41" s="1" t="n">
        <v>45685</v>
      </c>
      <c r="C41" s="1" t="n">
        <v>46205</v>
      </c>
      <c r="D41" t="inlineStr">
        <is>
          <t>VÄSTRA GÖTALANDS LÄN</t>
        </is>
      </c>
      <c r="E41" t="inlineStr">
        <is>
          <t>TANUM</t>
        </is>
      </c>
      <c r="G41" t="n">
        <v>19.3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HYPERLINK("https://klasma.github.io/Logging_1435/artfynd/A 4208-2025 artfynd.xlsx", "A 4208-2025")</f>
        <v/>
      </c>
      <c r="T41">
        <f>HYPERLINK("https://klasma.github.io/Logging_1435/kartor/A 4208-2025 karta.png", "A 4208-2025")</f>
        <v/>
      </c>
      <c r="V41">
        <f>HYPERLINK("https://klasma.github.io/Logging_1435/klagomål/A 4208-2025 FSC-klagomål.docx", "A 4208-2025")</f>
        <v/>
      </c>
      <c r="W41">
        <f>HYPERLINK("https://klasma.github.io/Logging_1435/klagomålsmail/A 4208-2025 FSC-klagomål mail.docx", "A 4208-2025")</f>
        <v/>
      </c>
      <c r="X41">
        <f>HYPERLINK("https://klasma.github.io/Logging_1435/tillsyn/A 4208-2025 tillsynsbegäran.docx", "A 4208-2025")</f>
        <v/>
      </c>
      <c r="Y41">
        <f>HYPERLINK("https://klasma.github.io/Logging_1435/tillsynsmail/A 4208-2025 tillsynsbegäran mail.docx", "A 4208-2025")</f>
        <v/>
      </c>
    </row>
    <row r="42" ht="15" customHeight="1">
      <c r="A42" t="inlineStr">
        <is>
          <t>A 9276-2026</t>
        </is>
      </c>
      <c r="B42" s="1" t="n">
        <v>46070</v>
      </c>
      <c r="C42" s="1" t="n">
        <v>46205</v>
      </c>
      <c r="D42" t="inlineStr">
        <is>
          <t>VÄSTRA GÖTALANDS LÄN</t>
        </is>
      </c>
      <c r="E42" t="inlineStr">
        <is>
          <t>TANUM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HYPERLINK("https://klasma.github.io/Logging_1435/artfynd/A 9276-2026 artfynd.xlsx", "A 9276-2026")</f>
        <v/>
      </c>
      <c r="T42">
        <f>HYPERLINK("https://klasma.github.io/Logging_1435/kartor/A 9276-2026 karta.png", "A 9276-2026")</f>
        <v/>
      </c>
      <c r="V42">
        <f>HYPERLINK("https://klasma.github.io/Logging_1435/klagomål/A 9276-2026 FSC-klagomål.docx", "A 9276-2026")</f>
        <v/>
      </c>
      <c r="W42">
        <f>HYPERLINK("https://klasma.github.io/Logging_1435/klagomålsmail/A 9276-2026 FSC-klagomål mail.docx", "A 9276-2026")</f>
        <v/>
      </c>
      <c r="X42">
        <f>HYPERLINK("https://klasma.github.io/Logging_1435/tillsyn/A 9276-2026 tillsynsbegäran.docx", "A 9276-2026")</f>
        <v/>
      </c>
      <c r="Y42">
        <f>HYPERLINK("https://klasma.github.io/Logging_1435/tillsynsmail/A 9276-2026 tillsynsbegäran mail.docx", "A 9276-2026")</f>
        <v/>
      </c>
    </row>
    <row r="43" ht="15" customHeight="1">
      <c r="A43" t="inlineStr">
        <is>
          <t>A 14821-2026</t>
        </is>
      </c>
      <c r="B43" s="1" t="n">
        <v>46103</v>
      </c>
      <c r="C43" s="1" t="n">
        <v>46205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HYPERLINK("https://klasma.github.io/Logging_1435/artfynd/A 14821-2026 artfynd.xlsx", "A 14821-2026")</f>
        <v/>
      </c>
      <c r="T43">
        <f>HYPERLINK("https://klasma.github.io/Logging_1435/kartor/A 14821-2026 karta.png", "A 14821-2026")</f>
        <v/>
      </c>
      <c r="U43">
        <f>HYPERLINK("https://klasma.github.io/Logging_1435/knärot/A 14821-2026 karta knärot.png", "A 14821-2026")</f>
        <v/>
      </c>
      <c r="V43">
        <f>HYPERLINK("https://klasma.github.io/Logging_1435/klagomål/A 14821-2026 FSC-klagomål.docx", "A 14821-2026")</f>
        <v/>
      </c>
      <c r="W43">
        <f>HYPERLINK("https://klasma.github.io/Logging_1435/klagomålsmail/A 14821-2026 FSC-klagomål mail.docx", "A 14821-2026")</f>
        <v/>
      </c>
      <c r="X43">
        <f>HYPERLINK("https://klasma.github.io/Logging_1435/tillsyn/A 14821-2026 tillsynsbegäran.docx", "A 14821-2026")</f>
        <v/>
      </c>
      <c r="Y43">
        <f>HYPERLINK("https://klasma.github.io/Logging_1435/tillsynsmail/A 14821-2026 tillsynsbegäran mail.docx", "A 14821-2026")</f>
        <v/>
      </c>
    </row>
    <row r="44" ht="15" customHeight="1">
      <c r="A44" t="inlineStr">
        <is>
          <t>A 46044-2023</t>
        </is>
      </c>
      <c r="B44" s="1" t="n">
        <v>45196</v>
      </c>
      <c r="C44" s="1" t="n">
        <v>46205</v>
      </c>
      <c r="D44" t="inlineStr">
        <is>
          <t>VÄSTRA GÖTALANDS LÄN</t>
        </is>
      </c>
      <c r="E44" t="inlineStr">
        <is>
          <t>TANUM</t>
        </is>
      </c>
      <c r="G44" t="n">
        <v>33.6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HYPERLINK("https://klasma.github.io/Logging_1435/artfynd/A 46044-2023 artfynd.xlsx", "A 46044-2023")</f>
        <v/>
      </c>
      <c r="T44">
        <f>HYPERLINK("https://klasma.github.io/Logging_1435/kartor/A 46044-2023 karta.png", "A 46044-2023")</f>
        <v/>
      </c>
      <c r="V44">
        <f>HYPERLINK("https://klasma.github.io/Logging_1435/klagomål/A 46044-2023 FSC-klagomål.docx", "A 46044-2023")</f>
        <v/>
      </c>
      <c r="W44">
        <f>HYPERLINK("https://klasma.github.io/Logging_1435/klagomålsmail/A 46044-2023 FSC-klagomål mail.docx", "A 46044-2023")</f>
        <v/>
      </c>
      <c r="X44">
        <f>HYPERLINK("https://klasma.github.io/Logging_1435/tillsyn/A 46044-2023 tillsynsbegäran.docx", "A 46044-2023")</f>
        <v/>
      </c>
      <c r="Y44">
        <f>HYPERLINK("https://klasma.github.io/Logging_1435/tillsynsmail/A 46044-2023 tillsynsbegäran mail.docx", "A 46044-2023")</f>
        <v/>
      </c>
    </row>
    <row r="45" ht="15" customHeight="1">
      <c r="A45" t="inlineStr">
        <is>
          <t>A 57566-2023</t>
        </is>
      </c>
      <c r="B45" s="1" t="n">
        <v>45246</v>
      </c>
      <c r="C45" s="1" t="n">
        <v>46205</v>
      </c>
      <c r="D45" t="inlineStr">
        <is>
          <t>VÄSTRA GÖTALANDS LÄN</t>
        </is>
      </c>
      <c r="E45" t="inlineStr">
        <is>
          <t>TANUM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Hasselsnok</t>
        </is>
      </c>
      <c r="S45">
        <f>HYPERLINK("https://klasma.github.io/Logging_1435/artfynd/A 57566-2023 artfynd.xlsx", "A 57566-2023")</f>
        <v/>
      </c>
      <c r="T45">
        <f>HYPERLINK("https://klasma.github.io/Logging_1435/kartor/A 57566-2023 karta.png", "A 57566-2023")</f>
        <v/>
      </c>
      <c r="V45">
        <f>HYPERLINK("https://klasma.github.io/Logging_1435/klagomål/A 57566-2023 FSC-klagomål.docx", "A 57566-2023")</f>
        <v/>
      </c>
      <c r="W45">
        <f>HYPERLINK("https://klasma.github.io/Logging_1435/klagomålsmail/A 57566-2023 FSC-klagomål mail.docx", "A 57566-2023")</f>
        <v/>
      </c>
      <c r="X45">
        <f>HYPERLINK("https://klasma.github.io/Logging_1435/tillsyn/A 57566-2023 tillsynsbegäran.docx", "A 57566-2023")</f>
        <v/>
      </c>
      <c r="Y45">
        <f>HYPERLINK("https://klasma.github.io/Logging_1435/tillsynsmail/A 57566-2023 tillsynsbegäran mail.docx", "A 57566-2023")</f>
        <v/>
      </c>
    </row>
    <row r="46" ht="15" customHeight="1">
      <c r="A46" t="inlineStr">
        <is>
          <t>A 57965-2023</t>
        </is>
      </c>
      <c r="B46" s="1" t="n">
        <v>45247</v>
      </c>
      <c r="C46" s="1" t="n">
        <v>46205</v>
      </c>
      <c r="D46" t="inlineStr">
        <is>
          <t>VÄSTRA GÖTALANDS LÄN</t>
        </is>
      </c>
      <c r="E46" t="inlineStr">
        <is>
          <t>TANUM</t>
        </is>
      </c>
      <c r="G46" t="n">
        <v>10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HYPERLINK("https://klasma.github.io/Logging_1435/artfynd/A 57965-2023 artfynd.xlsx", "A 57965-2023")</f>
        <v/>
      </c>
      <c r="T46">
        <f>HYPERLINK("https://klasma.github.io/Logging_1435/kartor/A 57965-2023 karta.png", "A 57965-2023")</f>
        <v/>
      </c>
      <c r="V46">
        <f>HYPERLINK("https://klasma.github.io/Logging_1435/klagomål/A 57965-2023 FSC-klagomål.docx", "A 57965-2023")</f>
        <v/>
      </c>
      <c r="W46">
        <f>HYPERLINK("https://klasma.github.io/Logging_1435/klagomålsmail/A 57965-2023 FSC-klagomål mail.docx", "A 57965-2023")</f>
        <v/>
      </c>
      <c r="X46">
        <f>HYPERLINK("https://klasma.github.io/Logging_1435/tillsyn/A 57965-2023 tillsynsbegäran.docx", "A 57965-2023")</f>
        <v/>
      </c>
      <c r="Y46">
        <f>HYPERLINK("https://klasma.github.io/Logging_1435/tillsynsmail/A 57965-2023 tillsynsbegäran mail.docx", "A 57965-2023")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46205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19343-2025</t>
        </is>
      </c>
      <c r="B48" s="1" t="n">
        <v>45769</v>
      </c>
      <c r="C48" s="1" t="n">
        <v>46205</v>
      </c>
      <c r="D48" t="inlineStr">
        <is>
          <t>VÄSTRA GÖTALANDS LÄN</t>
        </is>
      </c>
      <c r="E48" t="inlineStr">
        <is>
          <t>TANUM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HYPERLINK("https://klasma.github.io/Logging_1435/artfynd/A 19343-2025 artfynd.xlsx", "A 19343-2025")</f>
        <v/>
      </c>
      <c r="T48">
        <f>HYPERLINK("https://klasma.github.io/Logging_1435/kartor/A 19343-2025 karta.png", "A 19343-2025")</f>
        <v/>
      </c>
      <c r="V48">
        <f>HYPERLINK("https://klasma.github.io/Logging_1435/klagomål/A 19343-2025 FSC-klagomål.docx", "A 19343-2025")</f>
        <v/>
      </c>
      <c r="W48">
        <f>HYPERLINK("https://klasma.github.io/Logging_1435/klagomålsmail/A 19343-2025 FSC-klagomål mail.docx", "A 19343-2025")</f>
        <v/>
      </c>
      <c r="X48">
        <f>HYPERLINK("https://klasma.github.io/Logging_1435/tillsyn/A 19343-2025 tillsynsbegäran.docx", "A 19343-2025")</f>
        <v/>
      </c>
      <c r="Y48">
        <f>HYPERLINK("https://klasma.github.io/Logging_1435/tillsynsmail/A 19343-2025 tillsynsbegäran mail.docx", "A 19343-2025")</f>
        <v/>
      </c>
    </row>
    <row r="49" ht="15" customHeight="1">
      <c r="A49" t="inlineStr">
        <is>
          <t>A 23197-2026</t>
        </is>
      </c>
      <c r="B49" s="1" t="n">
        <v>46161</v>
      </c>
      <c r="C49" s="1" t="n">
        <v>46205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HYPERLINK("https://klasma.github.io/Logging_1435/artfynd/A 23197-2026 artfynd.xlsx", "A 23197-2026")</f>
        <v/>
      </c>
      <c r="T49">
        <f>HYPERLINK("https://klasma.github.io/Logging_1435/kartor/A 23197-2026 karta.png", "A 23197-2026")</f>
        <v/>
      </c>
      <c r="V49">
        <f>HYPERLINK("https://klasma.github.io/Logging_1435/klagomål/A 23197-2026 FSC-klagomål.docx", "A 23197-2026")</f>
        <v/>
      </c>
      <c r="W49">
        <f>HYPERLINK("https://klasma.github.io/Logging_1435/klagomålsmail/A 23197-2026 FSC-klagomål mail.docx", "A 23197-2026")</f>
        <v/>
      </c>
      <c r="X49">
        <f>HYPERLINK("https://klasma.github.io/Logging_1435/tillsyn/A 23197-2026 tillsynsbegäran.docx", "A 23197-2026")</f>
        <v/>
      </c>
      <c r="Y49">
        <f>HYPERLINK("https://klasma.github.io/Logging_1435/tillsynsmail/A 23197-2026 tillsynsbegäran mail.docx", "A 23197-2026")</f>
        <v/>
      </c>
    </row>
    <row r="50" ht="15" customHeight="1">
      <c r="A50" t="inlineStr">
        <is>
          <t>A 13437-2024</t>
        </is>
      </c>
      <c r="B50" s="1" t="n">
        <v>45387</v>
      </c>
      <c r="C50" s="1" t="n">
        <v>46205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HYPERLINK("https://klasma.github.io/Logging_1435/artfynd/A 13437-2024 artfynd.xlsx", "A 13437-2024")</f>
        <v/>
      </c>
      <c r="T50">
        <f>HYPERLINK("https://klasma.github.io/Logging_1435/kartor/A 13437-2024 karta.png", "A 13437-2024")</f>
        <v/>
      </c>
      <c r="V50">
        <f>HYPERLINK("https://klasma.github.io/Logging_1435/klagomål/A 13437-2024 FSC-klagomål.docx", "A 13437-2024")</f>
        <v/>
      </c>
      <c r="W50">
        <f>HYPERLINK("https://klasma.github.io/Logging_1435/klagomålsmail/A 13437-2024 FSC-klagomål mail.docx", "A 13437-2024")</f>
        <v/>
      </c>
      <c r="X50">
        <f>HYPERLINK("https://klasma.github.io/Logging_1435/tillsyn/A 13437-2024 tillsynsbegäran.docx", "A 13437-2024")</f>
        <v/>
      </c>
      <c r="Y50">
        <f>HYPERLINK("https://klasma.github.io/Logging_1435/tillsynsmail/A 13437-2024 tillsynsbegäran mail.docx", "A 13437-2024")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46205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23149-2025</t>
        </is>
      </c>
      <c r="B52" s="1" t="n">
        <v>45791</v>
      </c>
      <c r="C52" s="1" t="n">
        <v>46205</v>
      </c>
      <c r="D52" t="inlineStr">
        <is>
          <t>VÄSTRA GÖTALANDS LÄN</t>
        </is>
      </c>
      <c r="E52" t="inlineStr">
        <is>
          <t>TANUM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HYPERLINK("https://klasma.github.io/Logging_1435/artfynd/A 23149-2025 artfynd.xlsx", "A 23149-2025")</f>
        <v/>
      </c>
      <c r="T52">
        <f>HYPERLINK("https://klasma.github.io/Logging_1435/kartor/A 23149-2025 karta.png", "A 23149-2025")</f>
        <v/>
      </c>
      <c r="V52">
        <f>HYPERLINK("https://klasma.github.io/Logging_1435/klagomål/A 23149-2025 FSC-klagomål.docx", "A 23149-2025")</f>
        <v/>
      </c>
      <c r="W52">
        <f>HYPERLINK("https://klasma.github.io/Logging_1435/klagomålsmail/A 23149-2025 FSC-klagomål mail.docx", "A 23149-2025")</f>
        <v/>
      </c>
      <c r="X52">
        <f>HYPERLINK("https://klasma.github.io/Logging_1435/tillsyn/A 23149-2025 tillsynsbegäran.docx", "A 23149-2025")</f>
        <v/>
      </c>
      <c r="Y52">
        <f>HYPERLINK("https://klasma.github.io/Logging_1435/tillsynsmail/A 23149-2025 tillsynsbegäran mail.docx", "A 23149-2025")</f>
        <v/>
      </c>
    </row>
    <row r="53" ht="15" customHeight="1">
      <c r="A53" t="inlineStr">
        <is>
          <t>A 56778-2021</t>
        </is>
      </c>
      <c r="B53" s="1" t="n">
        <v>44481</v>
      </c>
      <c r="C53" s="1" t="n">
        <v>46205</v>
      </c>
      <c r="D53" t="inlineStr">
        <is>
          <t>VÄSTRA GÖTALANDS LÄN</t>
        </is>
      </c>
      <c r="E53" t="inlineStr">
        <is>
          <t>TANUM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47168-2021</t>
        </is>
      </c>
      <c r="B54" s="1" t="n">
        <v>44446</v>
      </c>
      <c r="C54" s="1" t="n">
        <v>46205</v>
      </c>
      <c r="D54" t="inlineStr">
        <is>
          <t>VÄSTRA GÖTALANDS LÄN</t>
        </is>
      </c>
      <c r="E54" t="inlineStr">
        <is>
          <t>TANUM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63363-2021</t>
        </is>
      </c>
      <c r="B55" s="1" t="n">
        <v>44506</v>
      </c>
      <c r="C55" s="1" t="n">
        <v>46205</v>
      </c>
      <c r="D55" t="inlineStr">
        <is>
          <t>VÄSTRA GÖTALANDS LÄN</t>
        </is>
      </c>
      <c r="E55" t="inlineStr">
        <is>
          <t>TANUM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72228-2021</t>
        </is>
      </c>
      <c r="B56" s="1" t="n">
        <v>44544</v>
      </c>
      <c r="C56" s="1" t="n">
        <v>46205</v>
      </c>
      <c r="D56" t="inlineStr">
        <is>
          <t>VÄSTRA GÖTALANDS LÄN</t>
        </is>
      </c>
      <c r="E56" t="inlineStr">
        <is>
          <t>TANUM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73816-2021</t>
        </is>
      </c>
      <c r="B57" s="1" t="n">
        <v>44552</v>
      </c>
      <c r="C57" s="1" t="n">
        <v>46205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46205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46205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46205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54195-2021</t>
        </is>
      </c>
      <c r="B61" s="1" t="n">
        <v>44470</v>
      </c>
      <c r="C61" s="1" t="n">
        <v>46205</v>
      </c>
      <c r="D61" t="inlineStr">
        <is>
          <t>VÄSTRA GÖTALANDS LÄN</t>
        </is>
      </c>
      <c r="E61" t="inlineStr">
        <is>
          <t>TANUM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1430-2022</t>
        </is>
      </c>
      <c r="B62" s="1" t="n">
        <v>44573</v>
      </c>
      <c r="C62" s="1" t="n">
        <v>46205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1441-2022</t>
        </is>
      </c>
      <c r="B63" s="1" t="n">
        <v>44573</v>
      </c>
      <c r="C63" s="1" t="n">
        <v>46205</v>
      </c>
      <c r="D63" t="inlineStr">
        <is>
          <t>VÄSTRA GÖTALANDS LÄN</t>
        </is>
      </c>
      <c r="E63" t="inlineStr">
        <is>
          <t>TANUM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5961-2022</t>
        </is>
      </c>
      <c r="B64" s="1" t="n">
        <v>44596</v>
      </c>
      <c r="C64" s="1" t="n">
        <v>46205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1432-2022</t>
        </is>
      </c>
      <c r="B65" s="1" t="n">
        <v>44573</v>
      </c>
      <c r="C65" s="1" t="n">
        <v>46205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</v>
      </c>
      <c r="C66" s="1" t="n">
        <v>46205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</v>
      </c>
      <c r="C67" s="1" t="n">
        <v>46205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49826-2022</t>
        </is>
      </c>
      <c r="B68" s="1" t="n">
        <v>44862</v>
      </c>
      <c r="C68" s="1" t="n">
        <v>46205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36791-2021</t>
        </is>
      </c>
      <c r="B69" s="1" t="n">
        <v>44392</v>
      </c>
      <c r="C69" s="1" t="n">
        <v>46205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46205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46205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37137-2021</t>
        </is>
      </c>
      <c r="B72" s="1" t="n">
        <v>44395</v>
      </c>
      <c r="C72" s="1" t="n">
        <v>46205</v>
      </c>
      <c r="D72" t="inlineStr">
        <is>
          <t>VÄSTRA GÖTALANDS LÄN</t>
        </is>
      </c>
      <c r="E72" t="inlineStr">
        <is>
          <t>TANUM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46205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50551-2021</t>
        </is>
      </c>
      <c r="B74" s="1" t="n">
        <v>44459</v>
      </c>
      <c r="C74" s="1" t="n">
        <v>46205</v>
      </c>
      <c r="D74" t="inlineStr">
        <is>
          <t>VÄSTRA GÖTALANDS LÄN</t>
        </is>
      </c>
      <c r="E74" t="inlineStr">
        <is>
          <t>TANUM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43715-2022</t>
        </is>
      </c>
      <c r="B75" s="1" t="n">
        <v>44837</v>
      </c>
      <c r="C75" s="1" t="n">
        <v>46205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26187-2022</t>
        </is>
      </c>
      <c r="B76" s="1" t="n">
        <v>44735</v>
      </c>
      <c r="C76" s="1" t="n">
        <v>46205</v>
      </c>
      <c r="D76" t="inlineStr">
        <is>
          <t>VÄSTRA GÖTALANDS LÄN</t>
        </is>
      </c>
      <c r="E76" t="inlineStr">
        <is>
          <t>TANUM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184-2022</t>
        </is>
      </c>
      <c r="B77" s="1" t="n">
        <v>44563</v>
      </c>
      <c r="C77" s="1" t="n">
        <v>46205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63323-2021</t>
        </is>
      </c>
      <c r="B78" s="1" t="n">
        <v>44506</v>
      </c>
      <c r="C78" s="1" t="n">
        <v>46205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63341-2021</t>
        </is>
      </c>
      <c r="B79" s="1" t="n">
        <v>44506</v>
      </c>
      <c r="C79" s="1" t="n">
        <v>46205</v>
      </c>
      <c r="D79" t="inlineStr">
        <is>
          <t>VÄSTRA GÖTALANDS LÄN</t>
        </is>
      </c>
      <c r="E79" t="inlineStr">
        <is>
          <t>TANUM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63370-2021</t>
        </is>
      </c>
      <c r="B80" s="1" t="n">
        <v>44506</v>
      </c>
      <c r="C80" s="1" t="n">
        <v>46205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1427-2022</t>
        </is>
      </c>
      <c r="B81" s="1" t="n">
        <v>44573</v>
      </c>
      <c r="C81" s="1" t="n">
        <v>46205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34213-2022</t>
        </is>
      </c>
      <c r="B82" s="1" t="n">
        <v>44791</v>
      </c>
      <c r="C82" s="1" t="n">
        <v>46205</v>
      </c>
      <c r="D82" t="inlineStr">
        <is>
          <t>VÄSTRA GÖTALANDS LÄN</t>
        </is>
      </c>
      <c r="E82" t="inlineStr">
        <is>
          <t>TANUM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35841-2022</t>
        </is>
      </c>
      <c r="B83" s="1" t="n">
        <v>44802</v>
      </c>
      <c r="C83" s="1" t="n">
        <v>46205</v>
      </c>
      <c r="D83" t="inlineStr">
        <is>
          <t>VÄSTRA GÖTALANDS LÄN</t>
        </is>
      </c>
      <c r="E83" t="inlineStr">
        <is>
          <t>TANUM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35929-2022</t>
        </is>
      </c>
      <c r="B84" s="1" t="n">
        <v>44802</v>
      </c>
      <c r="C84" s="1" t="n">
        <v>46205</v>
      </c>
      <c r="D84" t="inlineStr">
        <is>
          <t>VÄSTRA GÖTALANDS LÄN</t>
        </is>
      </c>
      <c r="E84" t="inlineStr">
        <is>
          <t>TANUM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25313-2022</t>
        </is>
      </c>
      <c r="B85" s="1" t="n">
        <v>44731</v>
      </c>
      <c r="C85" s="1" t="n">
        <v>46205</v>
      </c>
      <c r="D85" t="inlineStr">
        <is>
          <t>VÄSTRA GÖTALANDS LÄN</t>
        </is>
      </c>
      <c r="E85" t="inlineStr">
        <is>
          <t>TANUM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68214-2021</t>
        </is>
      </c>
      <c r="B86" s="1" t="n">
        <v>44525</v>
      </c>
      <c r="C86" s="1" t="n">
        <v>46205</v>
      </c>
      <c r="D86" t="inlineStr">
        <is>
          <t>VÄSTRA GÖTALANDS LÄN</t>
        </is>
      </c>
      <c r="E86" t="inlineStr">
        <is>
          <t>TANUM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44687-2021</t>
        </is>
      </c>
      <c r="B87" s="1" t="n">
        <v>44438</v>
      </c>
      <c r="C87" s="1" t="n">
        <v>46205</v>
      </c>
      <c r="D87" t="inlineStr">
        <is>
          <t>VÄSTRA GÖTALANDS LÄN</t>
        </is>
      </c>
      <c r="E87" t="inlineStr">
        <is>
          <t>TANUM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46535-2021</t>
        </is>
      </c>
      <c r="B88" s="1" t="n">
        <v>44445</v>
      </c>
      <c r="C88" s="1" t="n">
        <v>46205</v>
      </c>
      <c r="D88" t="inlineStr">
        <is>
          <t>VÄSTRA GÖTALANDS LÄN</t>
        </is>
      </c>
      <c r="E88" t="inlineStr">
        <is>
          <t>TANUM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54055-2021</t>
        </is>
      </c>
      <c r="B89" s="1" t="n">
        <v>44470</v>
      </c>
      <c r="C89" s="1" t="n">
        <v>46205</v>
      </c>
      <c r="D89" t="inlineStr">
        <is>
          <t>VÄSTRA GÖTALANDS LÄN</t>
        </is>
      </c>
      <c r="E89" t="inlineStr">
        <is>
          <t>TANUM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52403-2021</t>
        </is>
      </c>
      <c r="B90" s="1" t="n">
        <v>44463</v>
      </c>
      <c r="C90" s="1" t="n">
        <v>46205</v>
      </c>
      <c r="D90" t="inlineStr">
        <is>
          <t>VÄSTRA GÖTALANDS LÄN</t>
        </is>
      </c>
      <c r="E90" t="inlineStr">
        <is>
          <t>TANUM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35926-2022</t>
        </is>
      </c>
      <c r="B91" s="1" t="n">
        <v>44802</v>
      </c>
      <c r="C91" s="1" t="n">
        <v>46205</v>
      </c>
      <c r="D91" t="inlineStr">
        <is>
          <t>VÄSTRA GÖTALANDS LÄN</t>
        </is>
      </c>
      <c r="E91" t="inlineStr">
        <is>
          <t>TANUM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</v>
      </c>
      <c r="C92" s="1" t="n">
        <v>46205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</v>
      </c>
      <c r="C93" s="1" t="n">
        <v>46205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</v>
      </c>
      <c r="C94" s="1" t="n">
        <v>46205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46205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37130-2021</t>
        </is>
      </c>
      <c r="B96" s="1" t="n">
        <v>44395</v>
      </c>
      <c r="C96" s="1" t="n">
        <v>46205</v>
      </c>
      <c r="D96" t="inlineStr">
        <is>
          <t>VÄSTRA GÖTALANDS LÄN</t>
        </is>
      </c>
      <c r="E96" t="inlineStr">
        <is>
          <t>TANUM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63333-2021</t>
        </is>
      </c>
      <c r="B97" s="1" t="n">
        <v>44506</v>
      </c>
      <c r="C97" s="1" t="n">
        <v>46205</v>
      </c>
      <c r="D97" t="inlineStr">
        <is>
          <t>VÄSTRA GÖTALANDS LÄN</t>
        </is>
      </c>
      <c r="E97" t="inlineStr">
        <is>
          <t>TANUM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39959-2021</t>
        </is>
      </c>
      <c r="B98" s="1" t="n">
        <v>44417</v>
      </c>
      <c r="C98" s="1" t="n">
        <v>46205</v>
      </c>
      <c r="D98" t="inlineStr">
        <is>
          <t>VÄSTRA GÖTALANDS LÄN</t>
        </is>
      </c>
      <c r="E98" t="inlineStr">
        <is>
          <t>TANUM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54054-2021</t>
        </is>
      </c>
      <c r="B99" s="1" t="n">
        <v>44470</v>
      </c>
      <c r="C99" s="1" t="n">
        <v>46205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46205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64529-2023</t>
        </is>
      </c>
      <c r="B101" s="1" t="n">
        <v>45281</v>
      </c>
      <c r="C101" s="1" t="n">
        <v>46205</v>
      </c>
      <c r="D101" t="inlineStr">
        <is>
          <t>VÄSTRA GÖTALANDS LÄN</t>
        </is>
      </c>
      <c r="E101" t="inlineStr">
        <is>
          <t>TANUM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11142-2024</t>
        </is>
      </c>
      <c r="B102" s="1" t="n">
        <v>45371</v>
      </c>
      <c r="C102" s="1" t="n">
        <v>46205</v>
      </c>
      <c r="D102" t="inlineStr">
        <is>
          <t>VÄSTRA GÖTALANDS LÄN</t>
        </is>
      </c>
      <c r="E102" t="inlineStr">
        <is>
          <t>TANUM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43864-2023</t>
        </is>
      </c>
      <c r="B103" s="1" t="n">
        <v>45187</v>
      </c>
      <c r="C103" s="1" t="n">
        <v>46205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62931-2023</t>
        </is>
      </c>
      <c r="B104" s="1" t="n">
        <v>45272</v>
      </c>
      <c r="C104" s="1" t="n">
        <v>46205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24100-2022</t>
        </is>
      </c>
      <c r="B105" s="1" t="n">
        <v>44725</v>
      </c>
      <c r="C105" s="1" t="n">
        <v>46205</v>
      </c>
      <c r="D105" t="inlineStr">
        <is>
          <t>VÄSTRA GÖTALANDS LÄN</t>
        </is>
      </c>
      <c r="E105" t="inlineStr">
        <is>
          <t>TANUM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59166-2021</t>
        </is>
      </c>
      <c r="B106" s="1" t="n">
        <v>44490</v>
      </c>
      <c r="C106" s="1" t="n">
        <v>46205</v>
      </c>
      <c r="D106" t="inlineStr">
        <is>
          <t>VÄSTRA GÖTALANDS LÄN</t>
        </is>
      </c>
      <c r="E106" t="inlineStr">
        <is>
          <t>TANUM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49751-2022</t>
        </is>
      </c>
      <c r="B107" s="1" t="n">
        <v>44862</v>
      </c>
      <c r="C107" s="1" t="n">
        <v>46205</v>
      </c>
      <c r="D107" t="inlineStr">
        <is>
          <t>VÄSTRA GÖTALANDS LÄN</t>
        </is>
      </c>
      <c r="E107" t="inlineStr">
        <is>
          <t>TANUM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15353-2024</t>
        </is>
      </c>
      <c r="B108" s="1" t="n">
        <v>45400</v>
      </c>
      <c r="C108" s="1" t="n">
        <v>46205</v>
      </c>
      <c r="D108" t="inlineStr">
        <is>
          <t>VÄSTRA GÖTALANDS LÄN</t>
        </is>
      </c>
      <c r="E108" t="inlineStr">
        <is>
          <t>TANUM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54817-2023</t>
        </is>
      </c>
      <c r="B109" s="1" t="n">
        <v>45236</v>
      </c>
      <c r="C109" s="1" t="n">
        <v>46205</v>
      </c>
      <c r="D109" t="inlineStr">
        <is>
          <t>VÄSTRA GÖTALANDS LÄN</t>
        </is>
      </c>
      <c r="E109" t="inlineStr">
        <is>
          <t>TANUM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11786-2024</t>
        </is>
      </c>
      <c r="B110" s="1" t="n">
        <v>45374</v>
      </c>
      <c r="C110" s="1" t="n">
        <v>46205</v>
      </c>
      <c r="D110" t="inlineStr">
        <is>
          <t>VÄSTRA GÖTALANDS LÄN</t>
        </is>
      </c>
      <c r="E110" t="inlineStr">
        <is>
          <t>TANUM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13645-2024</t>
        </is>
      </c>
      <c r="B111" s="1" t="n">
        <v>45390</v>
      </c>
      <c r="C111" s="1" t="n">
        <v>46205</v>
      </c>
      <c r="D111" t="inlineStr">
        <is>
          <t>VÄSTRA GÖTALANDS LÄN</t>
        </is>
      </c>
      <c r="E111" t="inlineStr">
        <is>
          <t>TANUM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6243-2025</t>
        </is>
      </c>
      <c r="B112" s="1" t="n">
        <v>45698</v>
      </c>
      <c r="C112" s="1" t="n">
        <v>46205</v>
      </c>
      <c r="D112" t="inlineStr">
        <is>
          <t>VÄSTRA GÖTALANDS LÄN</t>
        </is>
      </c>
      <c r="E112" t="inlineStr">
        <is>
          <t>TANUM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55831-2023</t>
        </is>
      </c>
      <c r="B113" s="1" t="n">
        <v>45239</v>
      </c>
      <c r="C113" s="1" t="n">
        <v>46205</v>
      </c>
      <c r="D113" t="inlineStr">
        <is>
          <t>VÄSTRA GÖTALANDS LÄN</t>
        </is>
      </c>
      <c r="E113" t="inlineStr">
        <is>
          <t>TANUM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48640-2023</t>
        </is>
      </c>
      <c r="B114" s="1" t="n">
        <v>45208</v>
      </c>
      <c r="C114" s="1" t="n">
        <v>46205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51812-2022</t>
        </is>
      </c>
      <c r="B115" s="1" t="n">
        <v>44872</v>
      </c>
      <c r="C115" s="1" t="n">
        <v>46205</v>
      </c>
      <c r="D115" t="inlineStr">
        <is>
          <t>VÄSTRA GÖTALANDS LÄN</t>
        </is>
      </c>
      <c r="E115" t="inlineStr">
        <is>
          <t>TANUM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51825-2022</t>
        </is>
      </c>
      <c r="B116" s="1" t="n">
        <v>44872</v>
      </c>
      <c r="C116" s="1" t="n">
        <v>46205</v>
      </c>
      <c r="D116" t="inlineStr">
        <is>
          <t>VÄSTRA GÖTALANDS LÄN</t>
        </is>
      </c>
      <c r="E116" t="inlineStr">
        <is>
          <t>TANUM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59070-2023</t>
        </is>
      </c>
      <c r="B117" s="1" t="n">
        <v>45252</v>
      </c>
      <c r="C117" s="1" t="n">
        <v>46205</v>
      </c>
      <c r="D117" t="inlineStr">
        <is>
          <t>VÄSTRA GÖTALANDS LÄN</t>
        </is>
      </c>
      <c r="E117" t="inlineStr">
        <is>
          <t>TANUM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53406-2022</t>
        </is>
      </c>
      <c r="B118" s="1" t="n">
        <v>44879</v>
      </c>
      <c r="C118" s="1" t="n">
        <v>46205</v>
      </c>
      <c r="D118" t="inlineStr">
        <is>
          <t>VÄSTRA GÖTALANDS LÄN</t>
        </is>
      </c>
      <c r="E118" t="inlineStr">
        <is>
          <t>TANUM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50372-2023</t>
        </is>
      </c>
      <c r="B119" s="1" t="n">
        <v>45209</v>
      </c>
      <c r="C119" s="1" t="n">
        <v>46205</v>
      </c>
      <c r="D119" t="inlineStr">
        <is>
          <t>VÄSTRA GÖTALANDS LÄN</t>
        </is>
      </c>
      <c r="E119" t="inlineStr">
        <is>
          <t>TANUM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50383-2023</t>
        </is>
      </c>
      <c r="B120" s="1" t="n">
        <v>45210</v>
      </c>
      <c r="C120" s="1" t="n">
        <v>46205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44301-2022</t>
        </is>
      </c>
      <c r="B121" s="1" t="n">
        <v>44839</v>
      </c>
      <c r="C121" s="1" t="n">
        <v>46205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23122-2024</t>
        </is>
      </c>
      <c r="B122" s="1" t="n">
        <v>45450</v>
      </c>
      <c r="C122" s="1" t="n">
        <v>46205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49309-2024</t>
        </is>
      </c>
      <c r="B123" s="1" t="n">
        <v>45595</v>
      </c>
      <c r="C123" s="1" t="n">
        <v>46205</v>
      </c>
      <c r="D123" t="inlineStr">
        <is>
          <t>VÄSTRA GÖTALANDS LÄN</t>
        </is>
      </c>
      <c r="E123" t="inlineStr">
        <is>
          <t>TANUM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42079-2022</t>
        </is>
      </c>
      <c r="B124" s="1" t="n">
        <v>44830</v>
      </c>
      <c r="C124" s="1" t="n">
        <v>46205</v>
      </c>
      <c r="D124" t="inlineStr">
        <is>
          <t>VÄSTRA GÖTALANDS LÄN</t>
        </is>
      </c>
      <c r="E124" t="inlineStr">
        <is>
          <t>TANUM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13423-2024</t>
        </is>
      </c>
      <c r="B125" s="1" t="n">
        <v>45387</v>
      </c>
      <c r="C125" s="1" t="n">
        <v>46205</v>
      </c>
      <c r="D125" t="inlineStr">
        <is>
          <t>VÄSTRA GÖTALANDS LÄN</t>
        </is>
      </c>
      <c r="E125" t="inlineStr">
        <is>
          <t>TANUM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56378-2022</t>
        </is>
      </c>
      <c r="B126" s="1" t="n">
        <v>44890</v>
      </c>
      <c r="C126" s="1" t="n">
        <v>46205</v>
      </c>
      <c r="D126" t="inlineStr">
        <is>
          <t>VÄSTRA GÖTALANDS LÄN</t>
        </is>
      </c>
      <c r="E126" t="inlineStr">
        <is>
          <t>TANUM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53838-2023</t>
        </is>
      </c>
      <c r="B127" s="1" t="n">
        <v>45231</v>
      </c>
      <c r="C127" s="1" t="n">
        <v>46205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62489-2023</t>
        </is>
      </c>
      <c r="B128" s="1" t="n">
        <v>45268</v>
      </c>
      <c r="C128" s="1" t="n">
        <v>46205</v>
      </c>
      <c r="D128" t="inlineStr">
        <is>
          <t>VÄSTRA GÖTALANDS LÄN</t>
        </is>
      </c>
      <c r="E128" t="inlineStr">
        <is>
          <t>TANUM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30228-2024</t>
        </is>
      </c>
      <c r="B129" s="1" t="n">
        <v>45490</v>
      </c>
      <c r="C129" s="1" t="n">
        <v>46205</v>
      </c>
      <c r="D129" t="inlineStr">
        <is>
          <t>VÄSTRA GÖTALANDS LÄN</t>
        </is>
      </c>
      <c r="E129" t="inlineStr">
        <is>
          <t>TANUM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1555-2022</t>
        </is>
      </c>
      <c r="B130" s="1" t="n">
        <v>44573</v>
      </c>
      <c r="C130" s="1" t="n">
        <v>46205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61709-2023</t>
        </is>
      </c>
      <c r="B131" s="1" t="n">
        <v>45265</v>
      </c>
      <c r="C131" s="1" t="n">
        <v>46205</v>
      </c>
      <c r="D131" t="inlineStr">
        <is>
          <t>VÄSTRA GÖTALANDS LÄN</t>
        </is>
      </c>
      <c r="E131" t="inlineStr">
        <is>
          <t>TANUM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45068-2021</t>
        </is>
      </c>
      <c r="B132" s="1" t="n">
        <v>44439</v>
      </c>
      <c r="C132" s="1" t="n">
        <v>46205</v>
      </c>
      <c r="D132" t="inlineStr">
        <is>
          <t>VÄSTRA GÖTALANDS LÄN</t>
        </is>
      </c>
      <c r="E132" t="inlineStr">
        <is>
          <t>TANUM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36949-2024</t>
        </is>
      </c>
      <c r="B133" s="1" t="n">
        <v>45538</v>
      </c>
      <c r="C133" s="1" t="n">
        <v>46205</v>
      </c>
      <c r="D133" t="inlineStr">
        <is>
          <t>VÄSTRA GÖTALANDS LÄN</t>
        </is>
      </c>
      <c r="E133" t="inlineStr">
        <is>
          <t>TANUM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43884-2021</t>
        </is>
      </c>
      <c r="B134" s="1" t="n">
        <v>44434</v>
      </c>
      <c r="C134" s="1" t="n">
        <v>46205</v>
      </c>
      <c r="D134" t="inlineStr">
        <is>
          <t>VÄSTRA GÖTALANDS LÄN</t>
        </is>
      </c>
      <c r="E134" t="inlineStr">
        <is>
          <t>TANUM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43889-2021</t>
        </is>
      </c>
      <c r="B135" s="1" t="n">
        <v>44434</v>
      </c>
      <c r="C135" s="1" t="n">
        <v>46205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18398-2024</t>
        </is>
      </c>
      <c r="B136" s="1" t="n">
        <v>45425</v>
      </c>
      <c r="C136" s="1" t="n">
        <v>46205</v>
      </c>
      <c r="D136" t="inlineStr">
        <is>
          <t>VÄSTRA GÖTALANDS LÄN</t>
        </is>
      </c>
      <c r="E136" t="inlineStr">
        <is>
          <t>TANUM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18400-2024</t>
        </is>
      </c>
      <c r="B137" s="1" t="n">
        <v>45425</v>
      </c>
      <c r="C137" s="1" t="n">
        <v>46205</v>
      </c>
      <c r="D137" t="inlineStr">
        <is>
          <t>VÄSTRA GÖTALANDS LÄN</t>
        </is>
      </c>
      <c r="E137" t="inlineStr">
        <is>
          <t>TANUM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48302-2022</t>
        </is>
      </c>
      <c r="B138" s="1" t="n">
        <v>44858</v>
      </c>
      <c r="C138" s="1" t="n">
        <v>46205</v>
      </c>
      <c r="D138" t="inlineStr">
        <is>
          <t>VÄSTRA GÖTALANDS LÄN</t>
        </is>
      </c>
      <c r="E138" t="inlineStr">
        <is>
          <t>TANUM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641-2026</t>
        </is>
      </c>
      <c r="B139" s="1" t="n">
        <v>46029</v>
      </c>
      <c r="C139" s="1" t="n">
        <v>46205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37106-2023</t>
        </is>
      </c>
      <c r="B140" s="1" t="n">
        <v>45155</v>
      </c>
      <c r="C140" s="1" t="n">
        <v>46205</v>
      </c>
      <c r="D140" t="inlineStr">
        <is>
          <t>VÄSTRA GÖTALANDS LÄN</t>
        </is>
      </c>
      <c r="E140" t="inlineStr">
        <is>
          <t>TANUM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26264-2025</t>
        </is>
      </c>
      <c r="B141" s="1" t="n">
        <v>45805</v>
      </c>
      <c r="C141" s="1" t="n">
        <v>46205</v>
      </c>
      <c r="D141" t="inlineStr">
        <is>
          <t>VÄSTRA GÖTALANDS LÄN</t>
        </is>
      </c>
      <c r="E141" t="inlineStr">
        <is>
          <t>TANUM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663-2026</t>
        </is>
      </c>
      <c r="B142" s="1" t="n">
        <v>46029</v>
      </c>
      <c r="C142" s="1" t="n">
        <v>46205</v>
      </c>
      <c r="D142" t="inlineStr">
        <is>
          <t>VÄSTRA GÖTALANDS LÄN</t>
        </is>
      </c>
      <c r="E142" t="inlineStr">
        <is>
          <t>TANUM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16603-2025</t>
        </is>
      </c>
      <c r="B143" s="1" t="n">
        <v>45753</v>
      </c>
      <c r="C143" s="1" t="n">
        <v>46205</v>
      </c>
      <c r="D143" t="inlineStr">
        <is>
          <t>VÄSTRA GÖTALANDS LÄN</t>
        </is>
      </c>
      <c r="E143" t="inlineStr">
        <is>
          <t>TANUM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48750-2024</t>
        </is>
      </c>
      <c r="B144" s="1" t="n">
        <v>45593</v>
      </c>
      <c r="C144" s="1" t="n">
        <v>46205</v>
      </c>
      <c r="D144" t="inlineStr">
        <is>
          <t>VÄSTRA GÖTALANDS LÄN</t>
        </is>
      </c>
      <c r="E144" t="inlineStr">
        <is>
          <t>TANUM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1406-2026</t>
        </is>
      </c>
      <c r="B145" s="1" t="n">
        <v>46031</v>
      </c>
      <c r="C145" s="1" t="n">
        <v>46205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4224-2024</t>
        </is>
      </c>
      <c r="B146" s="1" t="n">
        <v>45324</v>
      </c>
      <c r="C146" s="1" t="n">
        <v>46205</v>
      </c>
      <c r="D146" t="inlineStr">
        <is>
          <t>VÄSTRA GÖTALANDS LÄN</t>
        </is>
      </c>
      <c r="E146" t="inlineStr">
        <is>
          <t>TANUM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1713-2026</t>
        </is>
      </c>
      <c r="B147" s="1" t="n">
        <v>46034</v>
      </c>
      <c r="C147" s="1" t="n">
        <v>46205</v>
      </c>
      <c r="D147" t="inlineStr">
        <is>
          <t>VÄSTRA GÖTALANDS LÄN</t>
        </is>
      </c>
      <c r="E147" t="inlineStr">
        <is>
          <t>TANUM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10889-2025</t>
        </is>
      </c>
      <c r="B148" s="1" t="n">
        <v>45722</v>
      </c>
      <c r="C148" s="1" t="n">
        <v>46205</v>
      </c>
      <c r="D148" t="inlineStr">
        <is>
          <t>VÄSTRA GÖTALANDS LÄN</t>
        </is>
      </c>
      <c r="E148" t="inlineStr">
        <is>
          <t>TANUM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6630-2022</t>
        </is>
      </c>
      <c r="B149" s="1" t="n">
        <v>44601</v>
      </c>
      <c r="C149" s="1" t="n">
        <v>46205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1412-2024</t>
        </is>
      </c>
      <c r="B150" s="1" t="n">
        <v>45303</v>
      </c>
      <c r="C150" s="1" t="n">
        <v>46205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38804-2025</t>
        </is>
      </c>
      <c r="B151" s="1" t="n">
        <v>45887</v>
      </c>
      <c r="C151" s="1" t="n">
        <v>46205</v>
      </c>
      <c r="D151" t="inlineStr">
        <is>
          <t>VÄSTRA GÖTALANDS LÄN</t>
        </is>
      </c>
      <c r="E151" t="inlineStr">
        <is>
          <t>TANUM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39351-2025</t>
        </is>
      </c>
      <c r="B152" s="1" t="n">
        <v>45889</v>
      </c>
      <c r="C152" s="1" t="n">
        <v>46205</v>
      </c>
      <c r="D152" t="inlineStr">
        <is>
          <t>VÄSTRA GÖTALANDS LÄN</t>
        </is>
      </c>
      <c r="E152" t="inlineStr">
        <is>
          <t>TANUM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39309-2025</t>
        </is>
      </c>
      <c r="B153" s="1" t="n">
        <v>45889</v>
      </c>
      <c r="C153" s="1" t="n">
        <v>46205</v>
      </c>
      <c r="D153" t="inlineStr">
        <is>
          <t>VÄSTRA GÖTALANDS LÄN</t>
        </is>
      </c>
      <c r="E153" t="inlineStr">
        <is>
          <t>TANUM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39347-2025</t>
        </is>
      </c>
      <c r="B154" s="1" t="n">
        <v>45889</v>
      </c>
      <c r="C154" s="1" t="n">
        <v>46205</v>
      </c>
      <c r="D154" t="inlineStr">
        <is>
          <t>VÄSTRA GÖTALANDS LÄN</t>
        </is>
      </c>
      <c r="E154" t="inlineStr">
        <is>
          <t>TANUM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58335-2021</t>
        </is>
      </c>
      <c r="B155" s="1" t="n">
        <v>44488</v>
      </c>
      <c r="C155" s="1" t="n">
        <v>46205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28546-2025</t>
        </is>
      </c>
      <c r="B156" s="1" t="n">
        <v>45819</v>
      </c>
      <c r="C156" s="1" t="n">
        <v>46205</v>
      </c>
      <c r="D156" t="inlineStr">
        <is>
          <t>VÄSTRA GÖTALANDS LÄN</t>
        </is>
      </c>
      <c r="E156" t="inlineStr">
        <is>
          <t>TANUM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40391-2025</t>
        </is>
      </c>
      <c r="B157" s="1" t="n">
        <v>45895</v>
      </c>
      <c r="C157" s="1" t="n">
        <v>46205</v>
      </c>
      <c r="D157" t="inlineStr">
        <is>
          <t>VÄSTRA GÖTALANDS LÄN</t>
        </is>
      </c>
      <c r="E157" t="inlineStr">
        <is>
          <t>TANUM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40433-2025</t>
        </is>
      </c>
      <c r="B158" s="1" t="n">
        <v>45895</v>
      </c>
      <c r="C158" s="1" t="n">
        <v>46205</v>
      </c>
      <c r="D158" t="inlineStr">
        <is>
          <t>VÄSTRA GÖTALANDS LÄN</t>
        </is>
      </c>
      <c r="E158" t="inlineStr">
        <is>
          <t>TANUM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40458-2025</t>
        </is>
      </c>
      <c r="B159" s="1" t="n">
        <v>45895</v>
      </c>
      <c r="C159" s="1" t="n">
        <v>46205</v>
      </c>
      <c r="D159" t="inlineStr">
        <is>
          <t>VÄSTRA GÖTALANDS LÄN</t>
        </is>
      </c>
      <c r="E159" t="inlineStr">
        <is>
          <t>TANUM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29317-2025</t>
        </is>
      </c>
      <c r="B160" s="1" t="n">
        <v>45824</v>
      </c>
      <c r="C160" s="1" t="n">
        <v>46205</v>
      </c>
      <c r="D160" t="inlineStr">
        <is>
          <t>VÄSTRA GÖTALANDS LÄN</t>
        </is>
      </c>
      <c r="E160" t="inlineStr">
        <is>
          <t>TANUM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40352-2025</t>
        </is>
      </c>
      <c r="B161" s="1" t="n">
        <v>45895</v>
      </c>
      <c r="C161" s="1" t="n">
        <v>46205</v>
      </c>
      <c r="D161" t="inlineStr">
        <is>
          <t>VÄSTRA GÖTALANDS LÄN</t>
        </is>
      </c>
      <c r="E161" t="inlineStr">
        <is>
          <t>TANUM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36844-2024</t>
        </is>
      </c>
      <c r="B162" s="1" t="n">
        <v>45538</v>
      </c>
      <c r="C162" s="1" t="n">
        <v>46205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16400-2023</t>
        </is>
      </c>
      <c r="B163" s="1" t="n">
        <v>45029</v>
      </c>
      <c r="C163" s="1" t="n">
        <v>46205</v>
      </c>
      <c r="D163" t="inlineStr">
        <is>
          <t>VÄSTRA GÖTALANDS LÄN</t>
        </is>
      </c>
      <c r="E163" t="inlineStr">
        <is>
          <t>TANUM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41777-2025</t>
        </is>
      </c>
      <c r="B164" s="1" t="n">
        <v>45902</v>
      </c>
      <c r="C164" s="1" t="n">
        <v>46205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41987-2025</t>
        </is>
      </c>
      <c r="B165" s="1" t="n">
        <v>45903</v>
      </c>
      <c r="C165" s="1" t="n">
        <v>46205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41988-2025</t>
        </is>
      </c>
      <c r="B166" s="1" t="n">
        <v>45903</v>
      </c>
      <c r="C166" s="1" t="n">
        <v>46205</v>
      </c>
      <c r="D166" t="inlineStr">
        <is>
          <t>VÄSTRA GÖTALANDS LÄN</t>
        </is>
      </c>
      <c r="E166" t="inlineStr">
        <is>
          <t>TANUM</t>
        </is>
      </c>
      <c r="G166" t="n">
        <v>13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31604-2024</t>
        </is>
      </c>
      <c r="B167" s="1" t="n">
        <v>45506</v>
      </c>
      <c r="C167" s="1" t="n">
        <v>46205</v>
      </c>
      <c r="D167" t="inlineStr">
        <is>
          <t>VÄSTRA GÖTALANDS LÄN</t>
        </is>
      </c>
      <c r="E167" t="inlineStr">
        <is>
          <t>TANUM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31613-2024</t>
        </is>
      </c>
      <c r="B168" s="1" t="n">
        <v>45506</v>
      </c>
      <c r="C168" s="1" t="n">
        <v>46205</v>
      </c>
      <c r="D168" t="inlineStr">
        <is>
          <t>VÄSTRA GÖTALANDS LÄN</t>
        </is>
      </c>
      <c r="E168" t="inlineStr">
        <is>
          <t>TANUM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2004-2023</t>
        </is>
      </c>
      <c r="B169" s="1" t="n">
        <v>44939</v>
      </c>
      <c r="C169" s="1" t="n">
        <v>46205</v>
      </c>
      <c r="D169" t="inlineStr">
        <is>
          <t>VÄSTRA GÖTALANDS LÄN</t>
        </is>
      </c>
      <c r="E169" t="inlineStr">
        <is>
          <t>TANUM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31683-2025</t>
        </is>
      </c>
      <c r="B170" s="1" t="n">
        <v>45834</v>
      </c>
      <c r="C170" s="1" t="n">
        <v>46205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31736-2025</t>
        </is>
      </c>
      <c r="B171" s="1" t="n">
        <v>45834</v>
      </c>
      <c r="C171" s="1" t="n">
        <v>46205</v>
      </c>
      <c r="D171" t="inlineStr">
        <is>
          <t>VÄSTRA GÖTALANDS LÄN</t>
        </is>
      </c>
      <c r="E171" t="inlineStr">
        <is>
          <t>TANUM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43364-2024</t>
        </is>
      </c>
      <c r="B172" s="1" t="n">
        <v>45568</v>
      </c>
      <c r="C172" s="1" t="n">
        <v>46205</v>
      </c>
      <c r="D172" t="inlineStr">
        <is>
          <t>VÄSTRA GÖTALANDS LÄN</t>
        </is>
      </c>
      <c r="E172" t="inlineStr">
        <is>
          <t>TANUM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2899-2026</t>
        </is>
      </c>
      <c r="B173" s="1" t="n">
        <v>46038</v>
      </c>
      <c r="C173" s="1" t="n">
        <v>46205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15991-2023</t>
        </is>
      </c>
      <c r="B174" s="1" t="n">
        <v>45023</v>
      </c>
      <c r="C174" s="1" t="n">
        <v>46205</v>
      </c>
      <c r="D174" t="inlineStr">
        <is>
          <t>VÄSTRA GÖTALANDS LÄN</t>
        </is>
      </c>
      <c r="E174" t="inlineStr">
        <is>
          <t>TANUM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43921-2024</t>
        </is>
      </c>
      <c r="B175" s="1" t="n">
        <v>45571</v>
      </c>
      <c r="C175" s="1" t="n">
        <v>46205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2954-2026</t>
        </is>
      </c>
      <c r="B176" s="1" t="n">
        <v>46038</v>
      </c>
      <c r="C176" s="1" t="n">
        <v>46205</v>
      </c>
      <c r="D176" t="inlineStr">
        <is>
          <t>VÄSTRA GÖTALANDS LÄN</t>
        </is>
      </c>
      <c r="E176" t="inlineStr">
        <is>
          <t>TANUM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33864-2025</t>
        </is>
      </c>
      <c r="B177" s="1" t="n">
        <v>45842</v>
      </c>
      <c r="C177" s="1" t="n">
        <v>46205</v>
      </c>
      <c r="D177" t="inlineStr">
        <is>
          <t>VÄSTRA GÖTALANDS LÄN</t>
        </is>
      </c>
      <c r="E177" t="inlineStr">
        <is>
          <t>TANUM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33840-2025</t>
        </is>
      </c>
      <c r="B178" s="1" t="n">
        <v>45842</v>
      </c>
      <c r="C178" s="1" t="n">
        <v>46205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33869-2025</t>
        </is>
      </c>
      <c r="B179" s="1" t="n">
        <v>45842</v>
      </c>
      <c r="C179" s="1" t="n">
        <v>46205</v>
      </c>
      <c r="D179" t="inlineStr">
        <is>
          <t>VÄSTRA GÖTALANDS LÄN</t>
        </is>
      </c>
      <c r="E179" t="inlineStr">
        <is>
          <t>TANUM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45374-2025</t>
        </is>
      </c>
      <c r="B180" s="1" t="n">
        <v>45922</v>
      </c>
      <c r="C180" s="1" t="n">
        <v>46205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33874-2025</t>
        </is>
      </c>
      <c r="B181" s="1" t="n">
        <v>45842</v>
      </c>
      <c r="C181" s="1" t="n">
        <v>46205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45336-2025</t>
        </is>
      </c>
      <c r="B182" s="1" t="n">
        <v>45922</v>
      </c>
      <c r="C182" s="1" t="n">
        <v>46205</v>
      </c>
      <c r="D182" t="inlineStr">
        <is>
          <t>VÄSTRA GÖTALANDS LÄN</t>
        </is>
      </c>
      <c r="E182" t="inlineStr">
        <is>
          <t>TANUM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45345-2025</t>
        </is>
      </c>
      <c r="B183" s="1" t="n">
        <v>45922</v>
      </c>
      <c r="C183" s="1" t="n">
        <v>46205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45350-2025</t>
        </is>
      </c>
      <c r="B184" s="1" t="n">
        <v>45922</v>
      </c>
      <c r="C184" s="1" t="n">
        <v>46205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2907-2026</t>
        </is>
      </c>
      <c r="B185" s="1" t="n">
        <v>46038</v>
      </c>
      <c r="C185" s="1" t="n">
        <v>46205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28760-2025</t>
        </is>
      </c>
      <c r="B186" s="1" t="n">
        <v>45820</v>
      </c>
      <c r="C186" s="1" t="n">
        <v>46205</v>
      </c>
      <c r="D186" t="inlineStr">
        <is>
          <t>VÄSTRA GÖTALANDS LÄN</t>
        </is>
      </c>
      <c r="E186" t="inlineStr">
        <is>
          <t>TANUM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44966-2024</t>
        </is>
      </c>
      <c r="B187" s="1" t="n">
        <v>45575</v>
      </c>
      <c r="C187" s="1" t="n">
        <v>46205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Naturvårdsverket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2555-2026</t>
        </is>
      </c>
      <c r="B188" s="1" t="n">
        <v>46037</v>
      </c>
      <c r="C188" s="1" t="n">
        <v>46205</v>
      </c>
      <c r="D188" t="inlineStr">
        <is>
          <t>VÄSTRA GÖTALANDS LÄN</t>
        </is>
      </c>
      <c r="E188" t="inlineStr">
        <is>
          <t>TANUM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45656-2025</t>
        </is>
      </c>
      <c r="B189" s="1" t="n">
        <v>45923</v>
      </c>
      <c r="C189" s="1" t="n">
        <v>46205</v>
      </c>
      <c r="D189" t="inlineStr">
        <is>
          <t>VÄSTRA GÖTALANDS LÄN</t>
        </is>
      </c>
      <c r="E189" t="inlineStr">
        <is>
          <t>TANUM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46420-2025</t>
        </is>
      </c>
      <c r="B190" s="1" t="n">
        <v>45925</v>
      </c>
      <c r="C190" s="1" t="n">
        <v>46205</v>
      </c>
      <c r="D190" t="inlineStr">
        <is>
          <t>VÄSTRA GÖTALANDS LÄN</t>
        </is>
      </c>
      <c r="E190" t="inlineStr">
        <is>
          <t>TANUM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46529-2025</t>
        </is>
      </c>
      <c r="B191" s="1" t="n">
        <v>45926</v>
      </c>
      <c r="C191" s="1" t="n">
        <v>46205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45744-2024</t>
        </is>
      </c>
      <c r="B192" s="1" t="n">
        <v>45579</v>
      </c>
      <c r="C192" s="1" t="n">
        <v>46205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46531-2025</t>
        </is>
      </c>
      <c r="B193" s="1" t="n">
        <v>45926</v>
      </c>
      <c r="C193" s="1" t="n">
        <v>46205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46528-2025</t>
        </is>
      </c>
      <c r="B194" s="1" t="n">
        <v>45926</v>
      </c>
      <c r="C194" s="1" t="n">
        <v>46205</v>
      </c>
      <c r="D194" t="inlineStr">
        <is>
          <t>VÄSTRA GÖTALANDS LÄN</t>
        </is>
      </c>
      <c r="E194" t="inlineStr">
        <is>
          <t>TANUM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57358-2024</t>
        </is>
      </c>
      <c r="B195" s="1" t="n">
        <v>45629</v>
      </c>
      <c r="C195" s="1" t="n">
        <v>46205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47056-2025</t>
        </is>
      </c>
      <c r="B196" s="1" t="n">
        <v>45929</v>
      </c>
      <c r="C196" s="1" t="n">
        <v>46205</v>
      </c>
      <c r="D196" t="inlineStr">
        <is>
          <t>VÄSTRA GÖTALANDS LÄN</t>
        </is>
      </c>
      <c r="E196" t="inlineStr">
        <is>
          <t>TANUM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46870-2025</t>
        </is>
      </c>
      <c r="B197" s="1" t="n">
        <v>45927</v>
      </c>
      <c r="C197" s="1" t="n">
        <v>46205</v>
      </c>
      <c r="D197" t="inlineStr">
        <is>
          <t>VÄSTRA GÖTALANDS LÄN</t>
        </is>
      </c>
      <c r="E197" t="inlineStr">
        <is>
          <t>TANUM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23228-2022</t>
        </is>
      </c>
      <c r="B198" s="1" t="n">
        <v>44719</v>
      </c>
      <c r="C198" s="1" t="n">
        <v>46205</v>
      </c>
      <c r="D198" t="inlineStr">
        <is>
          <t>VÄSTRA GÖTALANDS LÄN</t>
        </is>
      </c>
      <c r="E198" t="inlineStr">
        <is>
          <t>TANUM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47085-2025</t>
        </is>
      </c>
      <c r="B199" s="1" t="n">
        <v>45929</v>
      </c>
      <c r="C199" s="1" t="n">
        <v>46205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33976-2024</t>
        </is>
      </c>
      <c r="B200" s="1" t="n">
        <v>45522</v>
      </c>
      <c r="C200" s="1" t="n">
        <v>46205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50935-2022</t>
        </is>
      </c>
      <c r="B201" s="1" t="n">
        <v>44867</v>
      </c>
      <c r="C201" s="1" t="n">
        <v>46205</v>
      </c>
      <c r="D201" t="inlineStr">
        <is>
          <t>VÄSTRA GÖTALANDS LÄN</t>
        </is>
      </c>
      <c r="E201" t="inlineStr">
        <is>
          <t>TANUM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47984-2025</t>
        </is>
      </c>
      <c r="B202" s="1" t="n">
        <v>45932</v>
      </c>
      <c r="C202" s="1" t="n">
        <v>46205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48683-2025</t>
        </is>
      </c>
      <c r="B203" s="1" t="n">
        <v>45935</v>
      </c>
      <c r="C203" s="1" t="n">
        <v>46205</v>
      </c>
      <c r="D203" t="inlineStr">
        <is>
          <t>VÄSTRA GÖTALANDS LÄN</t>
        </is>
      </c>
      <c r="E203" t="inlineStr">
        <is>
          <t>TANUM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3568-2026</t>
        </is>
      </c>
      <c r="B204" s="1" t="n">
        <v>46042</v>
      </c>
      <c r="C204" s="1" t="n">
        <v>46205</v>
      </c>
      <c r="D204" t="inlineStr">
        <is>
          <t>VÄSTRA GÖTALANDS LÄN</t>
        </is>
      </c>
      <c r="E204" t="inlineStr">
        <is>
          <t>TANUM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48671-2025</t>
        </is>
      </c>
      <c r="B205" s="1" t="n">
        <v>45935</v>
      </c>
      <c r="C205" s="1" t="n">
        <v>46205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48572-2025</t>
        </is>
      </c>
      <c r="B206" s="1" t="n">
        <v>45936</v>
      </c>
      <c r="C206" s="1" t="n">
        <v>46205</v>
      </c>
      <c r="D206" t="inlineStr">
        <is>
          <t>VÄSTRA GÖTALANDS LÄN</t>
        </is>
      </c>
      <c r="E206" t="inlineStr">
        <is>
          <t>TANUM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36884-2025</t>
        </is>
      </c>
      <c r="B207" s="1" t="n">
        <v>45874</v>
      </c>
      <c r="C207" s="1" t="n">
        <v>46205</v>
      </c>
      <c r="D207" t="inlineStr">
        <is>
          <t>VÄSTRA GÖTALANDS LÄN</t>
        </is>
      </c>
      <c r="E207" t="inlineStr">
        <is>
          <t>TANUM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36686-2025</t>
        </is>
      </c>
      <c r="B208" s="1" t="n">
        <v>45872</v>
      </c>
      <c r="C208" s="1" t="n">
        <v>46205</v>
      </c>
      <c r="D208" t="inlineStr">
        <is>
          <t>VÄSTRA GÖTALANDS LÄN</t>
        </is>
      </c>
      <c r="E208" t="inlineStr">
        <is>
          <t>TANUM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50049-2024</t>
        </is>
      </c>
      <c r="B209" s="1" t="n">
        <v>45597</v>
      </c>
      <c r="C209" s="1" t="n">
        <v>46205</v>
      </c>
      <c r="D209" t="inlineStr">
        <is>
          <t>VÄSTRA GÖTALANDS LÄN</t>
        </is>
      </c>
      <c r="E209" t="inlineStr">
        <is>
          <t>TANUM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36742-2025</t>
        </is>
      </c>
      <c r="B210" s="1" t="n">
        <v>45873</v>
      </c>
      <c r="C210" s="1" t="n">
        <v>46205</v>
      </c>
      <c r="D210" t="inlineStr">
        <is>
          <t>VÄSTRA GÖTALANDS LÄN</t>
        </is>
      </c>
      <c r="E210" t="inlineStr">
        <is>
          <t>TANUM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49691-2024</t>
        </is>
      </c>
      <c r="B211" s="1" t="n">
        <v>45596</v>
      </c>
      <c r="C211" s="1" t="n">
        <v>46205</v>
      </c>
      <c r="D211" t="inlineStr">
        <is>
          <t>VÄSTRA GÖTALANDS LÄN</t>
        </is>
      </c>
      <c r="E211" t="inlineStr">
        <is>
          <t>TANUM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36887-2025</t>
        </is>
      </c>
      <c r="B212" s="1" t="n">
        <v>45874</v>
      </c>
      <c r="C212" s="1" t="n">
        <v>46205</v>
      </c>
      <c r="D212" t="inlineStr">
        <is>
          <t>VÄSTRA GÖTALANDS LÄN</t>
        </is>
      </c>
      <c r="E212" t="inlineStr">
        <is>
          <t>TANUM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48799-2025</t>
        </is>
      </c>
      <c r="B213" s="1" t="n">
        <v>45937</v>
      </c>
      <c r="C213" s="1" t="n">
        <v>46205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36858-2025</t>
        </is>
      </c>
      <c r="B214" s="1" t="n">
        <v>45874</v>
      </c>
      <c r="C214" s="1" t="n">
        <v>46205</v>
      </c>
      <c r="D214" t="inlineStr">
        <is>
          <t>VÄSTRA GÖTALANDS LÄN</t>
        </is>
      </c>
      <c r="E214" t="inlineStr">
        <is>
          <t>TANUM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40043-2023</t>
        </is>
      </c>
      <c r="B215" s="1" t="n">
        <v>45168</v>
      </c>
      <c r="C215" s="1" t="n">
        <v>46205</v>
      </c>
      <c r="D215" t="inlineStr">
        <is>
          <t>VÄSTRA GÖTALANDS LÄN</t>
        </is>
      </c>
      <c r="E215" t="inlineStr">
        <is>
          <t>TANUM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50161-2025</t>
        </is>
      </c>
      <c r="B216" s="1" t="n">
        <v>45943</v>
      </c>
      <c r="C216" s="1" t="n">
        <v>46205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8473-2025</t>
        </is>
      </c>
      <c r="B217" s="1" t="n">
        <v>45709</v>
      </c>
      <c r="C217" s="1" t="n">
        <v>46205</v>
      </c>
      <c r="D217" t="inlineStr">
        <is>
          <t>VÄSTRA GÖTALANDS LÄN</t>
        </is>
      </c>
      <c r="E217" t="inlineStr">
        <is>
          <t>TANUM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3056-2026</t>
        </is>
      </c>
      <c r="B218" s="1" t="n">
        <v>46039</v>
      </c>
      <c r="C218" s="1" t="n">
        <v>46205</v>
      </c>
      <c r="D218" t="inlineStr">
        <is>
          <t>VÄSTRA GÖTALANDS LÄN</t>
        </is>
      </c>
      <c r="E218" t="inlineStr">
        <is>
          <t>TANUM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37637-2025</t>
        </is>
      </c>
      <c r="B219" s="1" t="n">
        <v>45880</v>
      </c>
      <c r="C219" s="1" t="n">
        <v>46205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50062-2025</t>
        </is>
      </c>
      <c r="B220" s="1" t="n">
        <v>45942</v>
      </c>
      <c r="C220" s="1" t="n">
        <v>46205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37639-2025</t>
        </is>
      </c>
      <c r="B221" s="1" t="n">
        <v>45880</v>
      </c>
      <c r="C221" s="1" t="n">
        <v>46205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37641-2025</t>
        </is>
      </c>
      <c r="B222" s="1" t="n">
        <v>45880</v>
      </c>
      <c r="C222" s="1" t="n">
        <v>46205</v>
      </c>
      <c r="D222" t="inlineStr">
        <is>
          <t>VÄSTRA GÖTALANDS LÄN</t>
        </is>
      </c>
      <c r="E222" t="inlineStr">
        <is>
          <t>TANUM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64066-2023</t>
        </is>
      </c>
      <c r="B223" s="1" t="n">
        <v>45279</v>
      </c>
      <c r="C223" s="1" t="n">
        <v>46205</v>
      </c>
      <c r="D223" t="inlineStr">
        <is>
          <t>VÄSTRA GÖTALANDS LÄN</t>
        </is>
      </c>
      <c r="E223" t="inlineStr">
        <is>
          <t>TANUM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62697-2023</t>
        </is>
      </c>
      <c r="B224" s="1" t="n">
        <v>45271</v>
      </c>
      <c r="C224" s="1" t="n">
        <v>46205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50761-2025</t>
        </is>
      </c>
      <c r="B225" s="1" t="n">
        <v>45946</v>
      </c>
      <c r="C225" s="1" t="n">
        <v>46205</v>
      </c>
      <c r="D225" t="inlineStr">
        <is>
          <t>VÄSTRA GÖTALANDS LÄN</t>
        </is>
      </c>
      <c r="E225" t="inlineStr">
        <is>
          <t>TANUM</t>
        </is>
      </c>
      <c r="F225" t="inlineStr">
        <is>
          <t>Kyrkan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50556-2025</t>
        </is>
      </c>
      <c r="B226" s="1" t="n">
        <v>45945</v>
      </c>
      <c r="C226" s="1" t="n">
        <v>46205</v>
      </c>
      <c r="D226" t="inlineStr">
        <is>
          <t>VÄSTRA GÖTALANDS LÄN</t>
        </is>
      </c>
      <c r="E226" t="inlineStr">
        <is>
          <t>TANUM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18327-2023</t>
        </is>
      </c>
      <c r="B227" s="1" t="n">
        <v>45041</v>
      </c>
      <c r="C227" s="1" t="n">
        <v>46205</v>
      </c>
      <c r="D227" t="inlineStr">
        <is>
          <t>VÄSTRA GÖTALANDS LÄN</t>
        </is>
      </c>
      <c r="E227" t="inlineStr">
        <is>
          <t>TANUM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50868-2025</t>
        </is>
      </c>
      <c r="B228" s="1" t="n">
        <v>45946</v>
      </c>
      <c r="C228" s="1" t="n">
        <v>46205</v>
      </c>
      <c r="D228" t="inlineStr">
        <is>
          <t>VÄSTRA GÖTALANDS LÄN</t>
        </is>
      </c>
      <c r="E228" t="inlineStr">
        <is>
          <t>TANUM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4194-2026</t>
        </is>
      </c>
      <c r="B229" s="1" t="n">
        <v>46044</v>
      </c>
      <c r="C229" s="1" t="n">
        <v>46205</v>
      </c>
      <c r="D229" t="inlineStr">
        <is>
          <t>VÄSTRA GÖTALANDS LÄN</t>
        </is>
      </c>
      <c r="E229" t="inlineStr">
        <is>
          <t>TANUM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4206-2026</t>
        </is>
      </c>
      <c r="B230" s="1" t="n">
        <v>46044</v>
      </c>
      <c r="C230" s="1" t="n">
        <v>46205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4091-2026</t>
        </is>
      </c>
      <c r="B231" s="1" t="n">
        <v>46044</v>
      </c>
      <c r="C231" s="1" t="n">
        <v>46205</v>
      </c>
      <c r="D231" t="inlineStr">
        <is>
          <t>VÄSTRA GÖTALANDS LÄN</t>
        </is>
      </c>
      <c r="E231" t="inlineStr">
        <is>
          <t>TANUM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51161-2025</t>
        </is>
      </c>
      <c r="B232" s="1" t="n">
        <v>45947</v>
      </c>
      <c r="C232" s="1" t="n">
        <v>46205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51411-2025</t>
        </is>
      </c>
      <c r="B233" s="1" t="n">
        <v>45949</v>
      </c>
      <c r="C233" s="1" t="n">
        <v>46205</v>
      </c>
      <c r="D233" t="inlineStr">
        <is>
          <t>VÄSTRA GÖTALANDS LÄN</t>
        </is>
      </c>
      <c r="E233" t="inlineStr">
        <is>
          <t>TANUM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4200-2026</t>
        </is>
      </c>
      <c r="B234" s="1" t="n">
        <v>46044</v>
      </c>
      <c r="C234" s="1" t="n">
        <v>46205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50963-2025</t>
        </is>
      </c>
      <c r="B235" s="1" t="n">
        <v>45946</v>
      </c>
      <c r="C235" s="1" t="n">
        <v>46205</v>
      </c>
      <c r="D235" t="inlineStr">
        <is>
          <t>VÄSTRA GÖTALANDS LÄN</t>
        </is>
      </c>
      <c r="E235" t="inlineStr">
        <is>
          <t>TANUM</t>
        </is>
      </c>
      <c r="F235" t="inlineStr">
        <is>
          <t>Kyrkan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4086-2026</t>
        </is>
      </c>
      <c r="B236" s="1" t="n">
        <v>46044</v>
      </c>
      <c r="C236" s="1" t="n">
        <v>46205</v>
      </c>
      <c r="D236" t="inlineStr">
        <is>
          <t>VÄSTRA GÖTALANDS LÄN</t>
        </is>
      </c>
      <c r="E236" t="inlineStr">
        <is>
          <t>TANUM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4202-2026</t>
        </is>
      </c>
      <c r="B237" s="1" t="n">
        <v>46044</v>
      </c>
      <c r="C237" s="1" t="n">
        <v>46205</v>
      </c>
      <c r="D237" t="inlineStr">
        <is>
          <t>VÄSTRA GÖTALANDS LÄN</t>
        </is>
      </c>
      <c r="E237" t="inlineStr">
        <is>
          <t>TANUM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51688-2025</t>
        </is>
      </c>
      <c r="B238" s="1" t="n">
        <v>45951</v>
      </c>
      <c r="C238" s="1" t="n">
        <v>46205</v>
      </c>
      <c r="D238" t="inlineStr">
        <is>
          <t>VÄSTRA GÖTALANDS LÄN</t>
        </is>
      </c>
      <c r="E238" t="inlineStr">
        <is>
          <t>TANUM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51691-2025</t>
        </is>
      </c>
      <c r="B239" s="1" t="n">
        <v>45951</v>
      </c>
      <c r="C239" s="1" t="n">
        <v>46205</v>
      </c>
      <c r="D239" t="inlineStr">
        <is>
          <t>VÄSTRA GÖTALANDS LÄN</t>
        </is>
      </c>
      <c r="E239" t="inlineStr">
        <is>
          <t>TANUM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51698-2025</t>
        </is>
      </c>
      <c r="B240" s="1" t="n">
        <v>45951</v>
      </c>
      <c r="C240" s="1" t="n">
        <v>46205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4204-2026</t>
        </is>
      </c>
      <c r="B241" s="1" t="n">
        <v>46044</v>
      </c>
      <c r="C241" s="1" t="n">
        <v>46205</v>
      </c>
      <c r="D241" t="inlineStr">
        <is>
          <t>VÄSTRA GÖTALANDS LÄN</t>
        </is>
      </c>
      <c r="E241" t="inlineStr">
        <is>
          <t>TANUM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51966-2025</t>
        </is>
      </c>
      <c r="B242" s="1" t="n">
        <v>45952</v>
      </c>
      <c r="C242" s="1" t="n">
        <v>46205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51696-2025</t>
        </is>
      </c>
      <c r="B243" s="1" t="n">
        <v>45951</v>
      </c>
      <c r="C243" s="1" t="n">
        <v>46205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4077-2026</t>
        </is>
      </c>
      <c r="B244" s="1" t="n">
        <v>46044</v>
      </c>
      <c r="C244" s="1" t="n">
        <v>46205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4067-2026</t>
        </is>
      </c>
      <c r="B245" s="1" t="n">
        <v>46044</v>
      </c>
      <c r="C245" s="1" t="n">
        <v>46205</v>
      </c>
      <c r="D245" t="inlineStr">
        <is>
          <t>VÄSTRA GÖTALANDS LÄN</t>
        </is>
      </c>
      <c r="E245" t="inlineStr">
        <is>
          <t>TANUM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51687-2025</t>
        </is>
      </c>
      <c r="B246" s="1" t="n">
        <v>45951</v>
      </c>
      <c r="C246" s="1" t="n">
        <v>46205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3131-2023</t>
        </is>
      </c>
      <c r="B247" s="1" t="n">
        <v>44946</v>
      </c>
      <c r="C247" s="1" t="n">
        <v>46205</v>
      </c>
      <c r="D247" t="inlineStr">
        <is>
          <t>VÄSTRA GÖTALANDS LÄN</t>
        </is>
      </c>
      <c r="E247" t="inlineStr">
        <is>
          <t>TANUM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51692-2025</t>
        </is>
      </c>
      <c r="B248" s="1" t="n">
        <v>45951</v>
      </c>
      <c r="C248" s="1" t="n">
        <v>46205</v>
      </c>
      <c r="D248" t="inlineStr">
        <is>
          <t>VÄSTRA GÖTALANDS LÄN</t>
        </is>
      </c>
      <c r="E248" t="inlineStr">
        <is>
          <t>TANUM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52417-2025</t>
        </is>
      </c>
      <c r="B249" s="1" t="n">
        <v>45954</v>
      </c>
      <c r="C249" s="1" t="n">
        <v>46205</v>
      </c>
      <c r="D249" t="inlineStr">
        <is>
          <t>VÄSTRA GÖTALANDS LÄN</t>
        </is>
      </c>
      <c r="E249" t="inlineStr">
        <is>
          <t>TANUM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52408-2025</t>
        </is>
      </c>
      <c r="B250" s="1" t="n">
        <v>45954</v>
      </c>
      <c r="C250" s="1" t="n">
        <v>46205</v>
      </c>
      <c r="D250" t="inlineStr">
        <is>
          <t>VÄSTRA GÖTALANDS LÄN</t>
        </is>
      </c>
      <c r="E250" t="inlineStr">
        <is>
          <t>TANUM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7705-2023</t>
        </is>
      </c>
      <c r="B251" s="1" t="n">
        <v>44969</v>
      </c>
      <c r="C251" s="1" t="n">
        <v>46205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53241-2025</t>
        </is>
      </c>
      <c r="B252" s="1" t="n">
        <v>45958</v>
      </c>
      <c r="C252" s="1" t="n">
        <v>46205</v>
      </c>
      <c r="D252" t="inlineStr">
        <is>
          <t>VÄSTRA GÖTALANDS LÄN</t>
        </is>
      </c>
      <c r="E252" t="inlineStr">
        <is>
          <t>TANUM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4362-2023</t>
        </is>
      </c>
      <c r="B253" s="1" t="n">
        <v>44954</v>
      </c>
      <c r="C253" s="1" t="n">
        <v>46205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59506-2024</t>
        </is>
      </c>
      <c r="B254" s="1" t="n">
        <v>45637</v>
      </c>
      <c r="C254" s="1" t="n">
        <v>46205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30632-2023</t>
        </is>
      </c>
      <c r="B255" s="1" t="n">
        <v>45102</v>
      </c>
      <c r="C255" s="1" t="n">
        <v>46205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438-2023</t>
        </is>
      </c>
      <c r="B256" s="1" t="n">
        <v>44929</v>
      </c>
      <c r="C256" s="1" t="n">
        <v>46205</v>
      </c>
      <c r="D256" t="inlineStr">
        <is>
          <t>VÄSTRA GÖTALANDS LÄN</t>
        </is>
      </c>
      <c r="E256" t="inlineStr">
        <is>
          <t>TANUM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12077-2023</t>
        </is>
      </c>
      <c r="B257" s="1" t="n">
        <v>44997</v>
      </c>
      <c r="C257" s="1" t="n">
        <v>46205</v>
      </c>
      <c r="D257" t="inlineStr">
        <is>
          <t>VÄSTRA GÖTALANDS LÄN</t>
        </is>
      </c>
      <c r="E257" t="inlineStr">
        <is>
          <t>TANUM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181-2025</t>
        </is>
      </c>
      <c r="B258" s="1" t="n">
        <v>45659</v>
      </c>
      <c r="C258" s="1" t="n">
        <v>46205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55434-2025</t>
        </is>
      </c>
      <c r="B259" s="1" t="n">
        <v>45971</v>
      </c>
      <c r="C259" s="1" t="n">
        <v>46205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2196-2025</t>
        </is>
      </c>
      <c r="B260" s="1" t="n">
        <v>45673</v>
      </c>
      <c r="C260" s="1" t="n">
        <v>46205</v>
      </c>
      <c r="D260" t="inlineStr">
        <is>
          <t>VÄSTRA GÖTALANDS LÄN</t>
        </is>
      </c>
      <c r="E260" t="inlineStr">
        <is>
          <t>TANUM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2486-2025</t>
        </is>
      </c>
      <c r="B261" s="1" t="n">
        <v>45673</v>
      </c>
      <c r="C261" s="1" t="n">
        <v>46205</v>
      </c>
      <c r="D261" t="inlineStr">
        <is>
          <t>VÄSTRA GÖTALANDS LÄN</t>
        </is>
      </c>
      <c r="E261" t="inlineStr">
        <is>
          <t>TANUM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55836-2025</t>
        </is>
      </c>
      <c r="B262" s="1" t="n">
        <v>45972</v>
      </c>
      <c r="C262" s="1" t="n">
        <v>46205</v>
      </c>
      <c r="D262" t="inlineStr">
        <is>
          <t>VÄSTRA GÖTALANDS LÄN</t>
        </is>
      </c>
      <c r="E262" t="inlineStr">
        <is>
          <t>TANUM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56190-2025</t>
        </is>
      </c>
      <c r="B263" s="1" t="n">
        <v>45974</v>
      </c>
      <c r="C263" s="1" t="n">
        <v>46205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13386-2023</t>
        </is>
      </c>
      <c r="B264" s="1" t="n">
        <v>45005</v>
      </c>
      <c r="C264" s="1" t="n">
        <v>46205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37790-2023</t>
        </is>
      </c>
      <c r="B265" s="1" t="n">
        <v>45159</v>
      </c>
      <c r="C265" s="1" t="n">
        <v>46205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55837-2025</t>
        </is>
      </c>
      <c r="B266" s="1" t="n">
        <v>45972</v>
      </c>
      <c r="C266" s="1" t="n">
        <v>46205</v>
      </c>
      <c r="D266" t="inlineStr">
        <is>
          <t>VÄSTRA GÖTALANDS LÄN</t>
        </is>
      </c>
      <c r="E266" t="inlineStr">
        <is>
          <t>TANUM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53759-2021</t>
        </is>
      </c>
      <c r="B267" s="1" t="n">
        <v>44469</v>
      </c>
      <c r="C267" s="1" t="n">
        <v>46205</v>
      </c>
      <c r="D267" t="inlineStr">
        <is>
          <t>VÄSTRA GÖTALANDS LÄN</t>
        </is>
      </c>
      <c r="E267" t="inlineStr">
        <is>
          <t>TANUM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56944-2025</t>
        </is>
      </c>
      <c r="B268" s="1" t="n">
        <v>45978</v>
      </c>
      <c r="C268" s="1" t="n">
        <v>46205</v>
      </c>
      <c r="D268" t="inlineStr">
        <is>
          <t>VÄSTRA GÖTALANDS LÄN</t>
        </is>
      </c>
      <c r="E268" t="inlineStr">
        <is>
          <t>TANUM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16480-2023</t>
        </is>
      </c>
      <c r="B269" s="1" t="n">
        <v>45026</v>
      </c>
      <c r="C269" s="1" t="n">
        <v>46205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39901-2023</t>
        </is>
      </c>
      <c r="B270" s="1" t="n">
        <v>45168</v>
      </c>
      <c r="C270" s="1" t="n">
        <v>46205</v>
      </c>
      <c r="D270" t="inlineStr">
        <is>
          <t>VÄSTRA GÖTALANDS LÄN</t>
        </is>
      </c>
      <c r="E270" t="inlineStr">
        <is>
          <t>TANUM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58228-2025</t>
        </is>
      </c>
      <c r="B271" s="1" t="n">
        <v>45985</v>
      </c>
      <c r="C271" s="1" t="n">
        <v>46205</v>
      </c>
      <c r="D271" t="inlineStr">
        <is>
          <t>VÄSTRA GÖTALANDS LÄN</t>
        </is>
      </c>
      <c r="E271" t="inlineStr">
        <is>
          <t>TANUM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34759-2021</t>
        </is>
      </c>
      <c r="B272" s="1" t="n">
        <v>44382</v>
      </c>
      <c r="C272" s="1" t="n">
        <v>46205</v>
      </c>
      <c r="D272" t="inlineStr">
        <is>
          <t>VÄSTRA GÖTALANDS LÄN</t>
        </is>
      </c>
      <c r="E272" t="inlineStr">
        <is>
          <t>TANUM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58468-2025</t>
        </is>
      </c>
      <c r="B273" s="1" t="n">
        <v>45985</v>
      </c>
      <c r="C273" s="1" t="n">
        <v>46205</v>
      </c>
      <c r="D273" t="inlineStr">
        <is>
          <t>VÄSTRA GÖTALANDS LÄN</t>
        </is>
      </c>
      <c r="E273" t="inlineStr">
        <is>
          <t>TANUM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42756-2022</t>
        </is>
      </c>
      <c r="B274" s="1" t="n">
        <v>44832</v>
      </c>
      <c r="C274" s="1" t="n">
        <v>46205</v>
      </c>
      <c r="D274" t="inlineStr">
        <is>
          <t>VÄSTRA GÖTALANDS LÄN</t>
        </is>
      </c>
      <c r="E274" t="inlineStr">
        <is>
          <t>TANUM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7108-2026</t>
        </is>
      </c>
      <c r="B275" s="1" t="n">
        <v>46058</v>
      </c>
      <c r="C275" s="1" t="n">
        <v>46205</v>
      </c>
      <c r="D275" t="inlineStr">
        <is>
          <t>VÄSTRA GÖTALANDS LÄN</t>
        </is>
      </c>
      <c r="E275" t="inlineStr">
        <is>
          <t>TANUM</t>
        </is>
      </c>
      <c r="F275" t="inlineStr">
        <is>
          <t>Kyrkan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58809-2025</t>
        </is>
      </c>
      <c r="B276" s="1" t="n">
        <v>45987</v>
      </c>
      <c r="C276" s="1" t="n">
        <v>46205</v>
      </c>
      <c r="D276" t="inlineStr">
        <is>
          <t>VÄSTRA GÖTALANDS LÄN</t>
        </is>
      </c>
      <c r="E276" t="inlineStr">
        <is>
          <t>TANUM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4515-2025</t>
        </is>
      </c>
      <c r="B277" s="1" t="n">
        <v>45686</v>
      </c>
      <c r="C277" s="1" t="n">
        <v>46205</v>
      </c>
      <c r="D277" t="inlineStr">
        <is>
          <t>VÄSTRA GÖTALANDS LÄN</t>
        </is>
      </c>
      <c r="E277" t="inlineStr">
        <is>
          <t>TANUM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37283-2022</t>
        </is>
      </c>
      <c r="B278" s="1" t="n">
        <v>44807</v>
      </c>
      <c r="C278" s="1" t="n">
        <v>46205</v>
      </c>
      <c r="D278" t="inlineStr">
        <is>
          <t>VÄSTRA GÖTALANDS LÄN</t>
        </is>
      </c>
      <c r="E278" t="inlineStr">
        <is>
          <t>TANUM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2752-2025</t>
        </is>
      </c>
      <c r="B279" s="1" t="n">
        <v>45677</v>
      </c>
      <c r="C279" s="1" t="n">
        <v>46205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61162-2025</t>
        </is>
      </c>
      <c r="B280" s="1" t="n">
        <v>46000</v>
      </c>
      <c r="C280" s="1" t="n">
        <v>46205</v>
      </c>
      <c r="D280" t="inlineStr">
        <is>
          <t>VÄSTRA GÖTALANDS LÄN</t>
        </is>
      </c>
      <c r="E280" t="inlineStr">
        <is>
          <t>TANUM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61152-2025</t>
        </is>
      </c>
      <c r="B281" s="1" t="n">
        <v>46000</v>
      </c>
      <c r="C281" s="1" t="n">
        <v>46205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13997-2025</t>
        </is>
      </c>
      <c r="B282" s="1" t="n">
        <v>45739</v>
      </c>
      <c r="C282" s="1" t="n">
        <v>46205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60846-2025</t>
        </is>
      </c>
      <c r="B283" s="1" t="n">
        <v>45999</v>
      </c>
      <c r="C283" s="1" t="n">
        <v>46205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9445-2026</t>
        </is>
      </c>
      <c r="B284" s="1" t="n">
        <v>46071</v>
      </c>
      <c r="C284" s="1" t="n">
        <v>46205</v>
      </c>
      <c r="D284" t="inlineStr">
        <is>
          <t>VÄSTRA GÖTALANDS LÄN</t>
        </is>
      </c>
      <c r="E284" t="inlineStr">
        <is>
          <t>TANUM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9437-2026</t>
        </is>
      </c>
      <c r="B285" s="1" t="n">
        <v>46071</v>
      </c>
      <c r="C285" s="1" t="n">
        <v>46205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61255-2025</t>
        </is>
      </c>
      <c r="B286" s="1" t="n">
        <v>46000</v>
      </c>
      <c r="C286" s="1" t="n">
        <v>46205</v>
      </c>
      <c r="D286" t="inlineStr">
        <is>
          <t>VÄSTRA GÖTALANDS LÄN</t>
        </is>
      </c>
      <c r="E286" t="inlineStr">
        <is>
          <t>TANUM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24997-2023</t>
        </is>
      </c>
      <c r="B287" s="1" t="n">
        <v>45085</v>
      </c>
      <c r="C287" s="1" t="n">
        <v>46205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61890-2025</t>
        </is>
      </c>
      <c r="B288" s="1" t="n">
        <v>46003</v>
      </c>
      <c r="C288" s="1" t="n">
        <v>46205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15217-2025</t>
        </is>
      </c>
      <c r="B289" s="1" t="n">
        <v>45744</v>
      </c>
      <c r="C289" s="1" t="n">
        <v>46205</v>
      </c>
      <c r="D289" t="inlineStr">
        <is>
          <t>VÄSTRA GÖTALANDS LÄN</t>
        </is>
      </c>
      <c r="E289" t="inlineStr">
        <is>
          <t>TANUM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3493-2022</t>
        </is>
      </c>
      <c r="B290" s="1" t="n">
        <v>44585</v>
      </c>
      <c r="C290" s="1" t="n">
        <v>46205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50048-2024</t>
        </is>
      </c>
      <c r="B291" s="1" t="n">
        <v>45597</v>
      </c>
      <c r="C291" s="1" t="n">
        <v>46205</v>
      </c>
      <c r="D291" t="inlineStr">
        <is>
          <t>VÄSTRA GÖTALANDS LÄN</t>
        </is>
      </c>
      <c r="E291" t="inlineStr">
        <is>
          <t>TANUM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11530-2026</t>
        </is>
      </c>
      <c r="B292" s="1" t="n">
        <v>46083</v>
      </c>
      <c r="C292" s="1" t="n">
        <v>46205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53033-2021</t>
        </is>
      </c>
      <c r="B293" s="1" t="n">
        <v>44467</v>
      </c>
      <c r="C293" s="1" t="n">
        <v>46205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21751-2023</t>
        </is>
      </c>
      <c r="B294" s="1" t="n">
        <v>45063</v>
      </c>
      <c r="C294" s="1" t="n">
        <v>46205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63425-2025</t>
        </is>
      </c>
      <c r="B295" s="1" t="n">
        <v>46013</v>
      </c>
      <c r="C295" s="1" t="n">
        <v>46205</v>
      </c>
      <c r="D295" t="inlineStr">
        <is>
          <t>VÄSTRA GÖTALANDS LÄN</t>
        </is>
      </c>
      <c r="E295" t="inlineStr">
        <is>
          <t>TANUM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63426-2025</t>
        </is>
      </c>
      <c r="B296" s="1" t="n">
        <v>46013</v>
      </c>
      <c r="C296" s="1" t="n">
        <v>46205</v>
      </c>
      <c r="D296" t="inlineStr">
        <is>
          <t>VÄSTRA GÖTALANDS LÄN</t>
        </is>
      </c>
      <c r="E296" t="inlineStr">
        <is>
          <t>TANUM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46140-2022</t>
        </is>
      </c>
      <c r="B297" s="1" t="n">
        <v>44846</v>
      </c>
      <c r="C297" s="1" t="n">
        <v>46205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11736-2026</t>
        </is>
      </c>
      <c r="B298" s="1" t="n">
        <v>46084</v>
      </c>
      <c r="C298" s="1" t="n">
        <v>46205</v>
      </c>
      <c r="D298" t="inlineStr">
        <is>
          <t>VÄSTRA GÖTALANDS LÄN</t>
        </is>
      </c>
      <c r="E298" t="inlineStr">
        <is>
          <t>TANUM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11750-2026</t>
        </is>
      </c>
      <c r="B299" s="1" t="n">
        <v>46084</v>
      </c>
      <c r="C299" s="1" t="n">
        <v>46205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11809-2026</t>
        </is>
      </c>
      <c r="B300" s="1" t="n">
        <v>46085</v>
      </c>
      <c r="C300" s="1" t="n">
        <v>46205</v>
      </c>
      <c r="D300" t="inlineStr">
        <is>
          <t>VÄSTRA GÖTALANDS LÄN</t>
        </is>
      </c>
      <c r="E300" t="inlineStr">
        <is>
          <t>TANUM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62500-2023</t>
        </is>
      </c>
      <c r="B301" s="1" t="n">
        <v>45267</v>
      </c>
      <c r="C301" s="1" t="n">
        <v>46205</v>
      </c>
      <c r="D301" t="inlineStr">
        <is>
          <t>VÄSTRA GÖTALANDS LÄN</t>
        </is>
      </c>
      <c r="E301" t="inlineStr">
        <is>
          <t>TANUM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55995-2022</t>
        </is>
      </c>
      <c r="B302" s="1" t="n">
        <v>44887</v>
      </c>
      <c r="C302" s="1" t="n">
        <v>46205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60351-2023</t>
        </is>
      </c>
      <c r="B303" s="1" t="n">
        <v>45259</v>
      </c>
      <c r="C303" s="1" t="n">
        <v>46205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40050-2023</t>
        </is>
      </c>
      <c r="B304" s="1" t="n">
        <v>45168</v>
      </c>
      <c r="C304" s="1" t="n">
        <v>46205</v>
      </c>
      <c r="D304" t="inlineStr">
        <is>
          <t>VÄSTRA GÖTALANDS LÄN</t>
        </is>
      </c>
      <c r="E304" t="inlineStr">
        <is>
          <t>TANUM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13160-2026</t>
        </is>
      </c>
      <c r="B305" s="1" t="n">
        <v>46093</v>
      </c>
      <c r="C305" s="1" t="n">
        <v>46205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226-2024</t>
        </is>
      </c>
      <c r="B306" s="1" t="n">
        <v>45293</v>
      </c>
      <c r="C306" s="1" t="n">
        <v>46205</v>
      </c>
      <c r="D306" t="inlineStr">
        <is>
          <t>VÄSTRA GÖTALANDS LÄN</t>
        </is>
      </c>
      <c r="E306" t="inlineStr">
        <is>
          <t>TANUM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61236-2024</t>
        </is>
      </c>
      <c r="B307" s="1" t="n">
        <v>45645</v>
      </c>
      <c r="C307" s="1" t="n">
        <v>46205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61241-2024</t>
        </is>
      </c>
      <c r="B308" s="1" t="n">
        <v>45645</v>
      </c>
      <c r="C308" s="1" t="n">
        <v>46205</v>
      </c>
      <c r="D308" t="inlineStr">
        <is>
          <t>VÄSTRA GÖTALANDS LÄN</t>
        </is>
      </c>
      <c r="E308" t="inlineStr">
        <is>
          <t>TANUM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14248-2026</t>
        </is>
      </c>
      <c r="B309" s="1" t="n">
        <v>46099</v>
      </c>
      <c r="C309" s="1" t="n">
        <v>46205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14469-2026</t>
        </is>
      </c>
      <c r="B310" s="1" t="n">
        <v>46100</v>
      </c>
      <c r="C310" s="1" t="n">
        <v>46205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Sveaskog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14498-2026</t>
        </is>
      </c>
      <c r="B311" s="1" t="n">
        <v>46100</v>
      </c>
      <c r="C311" s="1" t="n">
        <v>46205</v>
      </c>
      <c r="D311" t="inlineStr">
        <is>
          <t>VÄSTRA GÖTALANDS LÄN</t>
        </is>
      </c>
      <c r="E311" t="inlineStr">
        <is>
          <t>TANUM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50796-2023</t>
        </is>
      </c>
      <c r="B312" s="1" t="n">
        <v>45211</v>
      </c>
      <c r="C312" s="1" t="n">
        <v>46205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39184-2022</t>
        </is>
      </c>
      <c r="B313" s="1" t="n">
        <v>44817</v>
      </c>
      <c r="C313" s="1" t="n">
        <v>46205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</v>
      </c>
      <c r="C314" s="1" t="n">
        <v>46205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29980-2024</t>
        </is>
      </c>
      <c r="B315" s="1" t="n">
        <v>45488</v>
      </c>
      <c r="C315" s="1" t="n">
        <v>46205</v>
      </c>
      <c r="D315" t="inlineStr">
        <is>
          <t>VÄSTRA GÖTALANDS LÄN</t>
        </is>
      </c>
      <c r="E315" t="inlineStr">
        <is>
          <t>TANUM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35201-2023</t>
        </is>
      </c>
      <c r="B316" s="1" t="n">
        <v>45145</v>
      </c>
      <c r="C316" s="1" t="n">
        <v>46205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72223-2021</t>
        </is>
      </c>
      <c r="B317" s="1" t="n">
        <v>44544</v>
      </c>
      <c r="C317" s="1" t="n">
        <v>46205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6841-2023</t>
        </is>
      </c>
      <c r="B318" s="1" t="n">
        <v>44964</v>
      </c>
      <c r="C318" s="1" t="n">
        <v>46205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12343-2023</t>
        </is>
      </c>
      <c r="B319" s="1" t="n">
        <v>44999</v>
      </c>
      <c r="C319" s="1" t="n">
        <v>46205</v>
      </c>
      <c r="D319" t="inlineStr">
        <is>
          <t>VÄSTRA GÖTALANDS LÄN</t>
        </is>
      </c>
      <c r="E319" t="inlineStr">
        <is>
          <t>TANUM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12853-2024</t>
        </is>
      </c>
      <c r="B320" s="1" t="n">
        <v>45384</v>
      </c>
      <c r="C320" s="1" t="n">
        <v>46205</v>
      </c>
      <c r="D320" t="inlineStr">
        <is>
          <t>VÄSTRA GÖTALANDS LÄN</t>
        </is>
      </c>
      <c r="E320" t="inlineStr">
        <is>
          <t>TANUM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12854-2024</t>
        </is>
      </c>
      <c r="B321" s="1" t="n">
        <v>45384</v>
      </c>
      <c r="C321" s="1" t="n">
        <v>46205</v>
      </c>
      <c r="D321" t="inlineStr">
        <is>
          <t>VÄSTRA GÖTALANDS LÄN</t>
        </is>
      </c>
      <c r="E321" t="inlineStr">
        <is>
          <t>TANUM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14004-2024</t>
        </is>
      </c>
      <c r="B322" s="1" t="n">
        <v>45392</v>
      </c>
      <c r="C322" s="1" t="n">
        <v>46205</v>
      </c>
      <c r="D322" t="inlineStr">
        <is>
          <t>VÄSTRA GÖTALANDS LÄN</t>
        </is>
      </c>
      <c r="E322" t="inlineStr">
        <is>
          <t>TANUM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39549-2024</t>
        </is>
      </c>
      <c r="B323" s="1" t="n">
        <v>45552</v>
      </c>
      <c r="C323" s="1" t="n">
        <v>46205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2420-2022</t>
        </is>
      </c>
      <c r="B324" s="1" t="n">
        <v>44579</v>
      </c>
      <c r="C324" s="1" t="n">
        <v>46205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6112-2025</t>
        </is>
      </c>
      <c r="B325" s="1" t="n">
        <v>45698</v>
      </c>
      <c r="C325" s="1" t="n">
        <v>46205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42795-2024</t>
        </is>
      </c>
      <c r="B326" s="1" t="n">
        <v>45566</v>
      </c>
      <c r="C326" s="1" t="n">
        <v>46205</v>
      </c>
      <c r="D326" t="inlineStr">
        <is>
          <t>VÄSTRA GÖTALANDS LÄN</t>
        </is>
      </c>
      <c r="E326" t="inlineStr">
        <is>
          <t>TANUM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46205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46205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60768-2023</t>
        </is>
      </c>
      <c r="B329" s="1" t="n">
        <v>45260</v>
      </c>
      <c r="C329" s="1" t="n">
        <v>46205</v>
      </c>
      <c r="D329" t="inlineStr">
        <is>
          <t>VÄSTRA GÖTALANDS LÄN</t>
        </is>
      </c>
      <c r="E329" t="inlineStr">
        <is>
          <t>TANUM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66945-2021</t>
        </is>
      </c>
      <c r="B330" s="1" t="n">
        <v>44522</v>
      </c>
      <c r="C330" s="1" t="n">
        <v>46205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25441-2024</t>
        </is>
      </c>
      <c r="B331" s="1" t="n">
        <v>45463</v>
      </c>
      <c r="C331" s="1" t="n">
        <v>46205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8584-2022</t>
        </is>
      </c>
      <c r="B332" s="1" t="n">
        <v>44613</v>
      </c>
      <c r="C332" s="1" t="n">
        <v>46205</v>
      </c>
      <c r="D332" t="inlineStr">
        <is>
          <t>VÄSTRA GÖTALANDS LÄN</t>
        </is>
      </c>
      <c r="E332" t="inlineStr">
        <is>
          <t>TANUM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18135-2026</t>
        </is>
      </c>
      <c r="B333" s="1" t="n">
        <v>46125</v>
      </c>
      <c r="C333" s="1" t="n">
        <v>46205</v>
      </c>
      <c r="D333" t="inlineStr">
        <is>
          <t>VÄSTRA GÖTALANDS LÄN</t>
        </is>
      </c>
      <c r="E333" t="inlineStr">
        <is>
          <t>TANUM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41031-2023</t>
        </is>
      </c>
      <c r="B334" s="1" t="n">
        <v>45170</v>
      </c>
      <c r="C334" s="1" t="n">
        <v>46205</v>
      </c>
      <c r="D334" t="inlineStr">
        <is>
          <t>VÄSTRA GÖTALANDS LÄN</t>
        </is>
      </c>
      <c r="E334" t="inlineStr">
        <is>
          <t>TANUM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4584-2022</t>
        </is>
      </c>
      <c r="B335" s="1" t="n">
        <v>44591</v>
      </c>
      <c r="C335" s="1" t="n">
        <v>46205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63198-2025</t>
        </is>
      </c>
      <c r="B336" s="1" t="n">
        <v>46010</v>
      </c>
      <c r="C336" s="1" t="n">
        <v>46205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64990-2021</t>
        </is>
      </c>
      <c r="B337" s="1" t="n">
        <v>44514</v>
      </c>
      <c r="C337" s="1" t="n">
        <v>46205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8535-2024</t>
        </is>
      </c>
      <c r="B338" s="1" t="n">
        <v>45355</v>
      </c>
      <c r="C338" s="1" t="n">
        <v>46205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34497-2024</t>
        </is>
      </c>
      <c r="B339" s="1" t="n">
        <v>45525</v>
      </c>
      <c r="C339" s="1" t="n">
        <v>46205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18006-2025</t>
        </is>
      </c>
      <c r="B340" s="1" t="n">
        <v>45761</v>
      </c>
      <c r="C340" s="1" t="n">
        <v>46205</v>
      </c>
      <c r="D340" t="inlineStr">
        <is>
          <t>VÄSTRA GÖTALANDS LÄN</t>
        </is>
      </c>
      <c r="E340" t="inlineStr">
        <is>
          <t>TANUM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68161-2021</t>
        </is>
      </c>
      <c r="B341" s="1" t="n">
        <v>44526</v>
      </c>
      <c r="C341" s="1" t="n">
        <v>46205</v>
      </c>
      <c r="D341" t="inlineStr">
        <is>
          <t>VÄSTRA GÖTALANDS LÄN</t>
        </is>
      </c>
      <c r="E341" t="inlineStr">
        <is>
          <t>TANUM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22434-2024</t>
        </is>
      </c>
      <c r="B342" s="1" t="n">
        <v>45446</v>
      </c>
      <c r="C342" s="1" t="n">
        <v>46205</v>
      </c>
      <c r="D342" t="inlineStr">
        <is>
          <t>VÄSTRA GÖTALANDS LÄN</t>
        </is>
      </c>
      <c r="E342" t="inlineStr">
        <is>
          <t>TANUM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49687-2024</t>
        </is>
      </c>
      <c r="B343" s="1" t="n">
        <v>45596</v>
      </c>
      <c r="C343" s="1" t="n">
        <v>46205</v>
      </c>
      <c r="D343" t="inlineStr">
        <is>
          <t>VÄSTRA GÖTALANDS LÄN</t>
        </is>
      </c>
      <c r="E343" t="inlineStr">
        <is>
          <t>TANUM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40048-2023</t>
        </is>
      </c>
      <c r="B344" s="1" t="n">
        <v>45168</v>
      </c>
      <c r="C344" s="1" t="n">
        <v>46205</v>
      </c>
      <c r="D344" t="inlineStr">
        <is>
          <t>VÄSTRA GÖTALANDS LÄN</t>
        </is>
      </c>
      <c r="E344" t="inlineStr">
        <is>
          <t>TANUM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17680-2023</t>
        </is>
      </c>
      <c r="B345" s="1" t="n">
        <v>45035</v>
      </c>
      <c r="C345" s="1" t="n">
        <v>46205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46118-2023</t>
        </is>
      </c>
      <c r="B346" s="1" t="n">
        <v>45196</v>
      </c>
      <c r="C346" s="1" t="n">
        <v>46205</v>
      </c>
      <c r="D346" t="inlineStr">
        <is>
          <t>VÄSTRA GÖTALANDS LÄN</t>
        </is>
      </c>
      <c r="E346" t="inlineStr">
        <is>
          <t>TANUM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46205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18882-2026</t>
        </is>
      </c>
      <c r="B348" s="1" t="n">
        <v>46129</v>
      </c>
      <c r="C348" s="1" t="n">
        <v>46205</v>
      </c>
      <c r="D348" t="inlineStr">
        <is>
          <t>VÄSTRA GÖTALANDS LÄN</t>
        </is>
      </c>
      <c r="E348" t="inlineStr">
        <is>
          <t>TANUM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73810-2021</t>
        </is>
      </c>
      <c r="B349" s="1" t="n">
        <v>44552</v>
      </c>
      <c r="C349" s="1" t="n">
        <v>46205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3763-2024</t>
        </is>
      </c>
      <c r="B350" s="1" t="n">
        <v>45321</v>
      </c>
      <c r="C350" s="1" t="n">
        <v>46205</v>
      </c>
      <c r="D350" t="inlineStr">
        <is>
          <t>VÄSTRA GÖTALANDS LÄN</t>
        </is>
      </c>
      <c r="E350" t="inlineStr">
        <is>
          <t>TANUM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7352-2022</t>
        </is>
      </c>
      <c r="B351" s="1" t="n">
        <v>44606</v>
      </c>
      <c r="C351" s="1" t="n">
        <v>46205</v>
      </c>
      <c r="D351" t="inlineStr">
        <is>
          <t>VÄSTRA GÖTALANDS LÄN</t>
        </is>
      </c>
      <c r="E351" t="inlineStr">
        <is>
          <t>TANUM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2488-2025</t>
        </is>
      </c>
      <c r="B352" s="1" t="n">
        <v>45673</v>
      </c>
      <c r="C352" s="1" t="n">
        <v>46205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46205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29930-2023</t>
        </is>
      </c>
      <c r="B354" s="1" t="n">
        <v>45107</v>
      </c>
      <c r="C354" s="1" t="n">
        <v>46205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25161-2026</t>
        </is>
      </c>
      <c r="B355" s="1" t="n">
        <v>46175</v>
      </c>
      <c r="C355" s="1" t="n">
        <v>46205</v>
      </c>
      <c r="D355" t="inlineStr">
        <is>
          <t>VÄSTRA GÖTALANDS LÄN</t>
        </is>
      </c>
      <c r="E355" t="inlineStr">
        <is>
          <t>TANUM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25323-2026</t>
        </is>
      </c>
      <c r="B356" s="1" t="n">
        <v>46176</v>
      </c>
      <c r="C356" s="1" t="n">
        <v>46205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25321-2026</t>
        </is>
      </c>
      <c r="B357" s="1" t="n">
        <v>46176</v>
      </c>
      <c r="C357" s="1" t="n">
        <v>46205</v>
      </c>
      <c r="D357" t="inlineStr">
        <is>
          <t>VÄSTRA GÖTALANDS LÄN</t>
        </is>
      </c>
      <c r="E357" t="inlineStr">
        <is>
          <t>TANUM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25004-2023</t>
        </is>
      </c>
      <c r="B358" s="1" t="n">
        <v>45085</v>
      </c>
      <c r="C358" s="1" t="n">
        <v>46205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25804-2026</t>
        </is>
      </c>
      <c r="B359" s="1" t="n">
        <v>46178</v>
      </c>
      <c r="C359" s="1" t="n">
        <v>46205</v>
      </c>
      <c r="D359" t="inlineStr">
        <is>
          <t>VÄSTRA GÖTALANDS LÄN</t>
        </is>
      </c>
      <c r="E359" t="inlineStr">
        <is>
          <t>TANUM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62005-2024</t>
        </is>
      </c>
      <c r="B360" s="1" t="n">
        <v>45655</v>
      </c>
      <c r="C360" s="1" t="n">
        <v>46205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25791-2026</t>
        </is>
      </c>
      <c r="B361" s="1" t="n">
        <v>46178</v>
      </c>
      <c r="C361" s="1" t="n">
        <v>46205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25518-2026</t>
        </is>
      </c>
      <c r="B362" s="1" t="n">
        <v>46177</v>
      </c>
      <c r="C362" s="1" t="n">
        <v>46205</v>
      </c>
      <c r="D362" t="inlineStr">
        <is>
          <t>VÄSTRA GÖTALANDS LÄN</t>
        </is>
      </c>
      <c r="E362" t="inlineStr">
        <is>
          <t>TANUM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44894-2023</t>
        </is>
      </c>
      <c r="B363" s="1" t="n">
        <v>45190</v>
      </c>
      <c r="C363" s="1" t="n">
        <v>46205</v>
      </c>
      <c r="D363" t="inlineStr">
        <is>
          <t>VÄSTRA GÖTALANDS LÄN</t>
        </is>
      </c>
      <c r="E363" t="inlineStr">
        <is>
          <t>TANUM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24880-2023</t>
        </is>
      </c>
      <c r="B364" s="1" t="n">
        <v>45085</v>
      </c>
      <c r="C364" s="1" t="n">
        <v>46205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21240-2024</t>
        </is>
      </c>
      <c r="B365" s="1" t="n">
        <v>45440</v>
      </c>
      <c r="C365" s="1" t="n">
        <v>46205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17137-2025</t>
        </is>
      </c>
      <c r="B366" s="1" t="n">
        <v>45755</v>
      </c>
      <c r="C366" s="1" t="n">
        <v>46205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101-2025</t>
        </is>
      </c>
      <c r="B367" s="1" t="n">
        <v>45649</v>
      </c>
      <c r="C367" s="1" t="n">
        <v>46205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36688-2025</t>
        </is>
      </c>
      <c r="B368" s="1" t="n">
        <v>45872</v>
      </c>
      <c r="C368" s="1" t="n">
        <v>46205</v>
      </c>
      <c r="D368" t="inlineStr">
        <is>
          <t>VÄSTRA GÖTALANDS LÄN</t>
        </is>
      </c>
      <c r="E368" t="inlineStr">
        <is>
          <t>TANUM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37073-2023</t>
        </is>
      </c>
      <c r="B369" s="1" t="n">
        <v>45154</v>
      </c>
      <c r="C369" s="1" t="n">
        <v>46205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16646-2025</t>
        </is>
      </c>
      <c r="B370" s="1" t="n">
        <v>45754</v>
      </c>
      <c r="C370" s="1" t="n">
        <v>46205</v>
      </c>
      <c r="D370" t="inlineStr">
        <is>
          <t>VÄSTRA GÖTALANDS LÄN</t>
        </is>
      </c>
      <c r="E370" t="inlineStr">
        <is>
          <t>TANUM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28807-2025</t>
        </is>
      </c>
      <c r="B371" s="1" t="n">
        <v>45820</v>
      </c>
      <c r="C371" s="1" t="n">
        <v>46205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29243-2025</t>
        </is>
      </c>
      <c r="B372" s="1" t="n">
        <v>45824</v>
      </c>
      <c r="C372" s="1" t="n">
        <v>46205</v>
      </c>
      <c r="D372" t="inlineStr">
        <is>
          <t>VÄSTRA GÖTALANDS LÄN</t>
        </is>
      </c>
      <c r="E372" t="inlineStr">
        <is>
          <t>TANUM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14269-2022</t>
        </is>
      </c>
      <c r="B373" s="1" t="n">
        <v>44651</v>
      </c>
      <c r="C373" s="1" t="n">
        <v>46205</v>
      </c>
      <c r="D373" t="inlineStr">
        <is>
          <t>VÄSTRA GÖTALANDS LÄN</t>
        </is>
      </c>
      <c r="E373" t="inlineStr">
        <is>
          <t>TANUM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17193-2025</t>
        </is>
      </c>
      <c r="B374" s="1" t="n">
        <v>45756</v>
      </c>
      <c r="C374" s="1" t="n">
        <v>46205</v>
      </c>
      <c r="D374" t="inlineStr">
        <is>
          <t>VÄSTRA GÖTALANDS LÄN</t>
        </is>
      </c>
      <c r="E374" t="inlineStr">
        <is>
          <t>TANUM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46205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63326-2021</t>
        </is>
      </c>
      <c r="B376" s="1" t="n">
        <v>44506</v>
      </c>
      <c r="C376" s="1" t="n">
        <v>46205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1396-2024</t>
        </is>
      </c>
      <c r="B377" s="1" t="n">
        <v>45303</v>
      </c>
      <c r="C377" s="1" t="n">
        <v>46205</v>
      </c>
      <c r="D377" t="inlineStr">
        <is>
          <t>VÄSTRA GÖTALANDS LÄN</t>
        </is>
      </c>
      <c r="E377" t="inlineStr">
        <is>
          <t>TANUM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1413-2024</t>
        </is>
      </c>
      <c r="B378" s="1" t="n">
        <v>45303</v>
      </c>
      <c r="C378" s="1" t="n">
        <v>46205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37069-2023</t>
        </is>
      </c>
      <c r="B379" s="1" t="n">
        <v>45154</v>
      </c>
      <c r="C379" s="1" t="n">
        <v>46205</v>
      </c>
      <c r="D379" t="inlineStr">
        <is>
          <t>VÄSTRA GÖTALANDS LÄN</t>
        </is>
      </c>
      <c r="E379" t="inlineStr">
        <is>
          <t>TANUM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20238-2026</t>
        </is>
      </c>
      <c r="B380" s="1" t="n">
        <v>46139</v>
      </c>
      <c r="C380" s="1" t="n">
        <v>46205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58873-2025</t>
        </is>
      </c>
      <c r="B381" s="1" t="n">
        <v>45987</v>
      </c>
      <c r="C381" s="1" t="n">
        <v>46205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35599-2022</t>
        </is>
      </c>
      <c r="B382" s="1" t="n">
        <v>44799</v>
      </c>
      <c r="C382" s="1" t="n">
        <v>46205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26508-2022</t>
        </is>
      </c>
      <c r="B383" s="1" t="n">
        <v>44739</v>
      </c>
      <c r="C383" s="1" t="n">
        <v>46205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151-2024</t>
        </is>
      </c>
      <c r="B384" s="1" t="n">
        <v>45293</v>
      </c>
      <c r="C384" s="1" t="n">
        <v>46205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24116-2022</t>
        </is>
      </c>
      <c r="B385" s="1" t="n">
        <v>44725</v>
      </c>
      <c r="C385" s="1" t="n">
        <v>46205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697-2024</t>
        </is>
      </c>
      <c r="B386" s="1" t="n">
        <v>45300</v>
      </c>
      <c r="C386" s="1" t="n">
        <v>46205</v>
      </c>
      <c r="D386" t="inlineStr">
        <is>
          <t>VÄSTRA GÖTALANDS LÄN</t>
        </is>
      </c>
      <c r="E386" t="inlineStr">
        <is>
          <t>TANUM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35720-2022</t>
        </is>
      </c>
      <c r="B387" s="1" t="n">
        <v>44799</v>
      </c>
      <c r="C387" s="1" t="n">
        <v>46205</v>
      </c>
      <c r="D387" t="inlineStr">
        <is>
          <t>VÄSTRA GÖTALANDS LÄN</t>
        </is>
      </c>
      <c r="E387" t="inlineStr">
        <is>
          <t>TANUM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62676-2023</t>
        </is>
      </c>
      <c r="B388" s="1" t="n">
        <v>45271</v>
      </c>
      <c r="C388" s="1" t="n">
        <v>46205</v>
      </c>
      <c r="D388" t="inlineStr">
        <is>
          <t>VÄSTRA GÖTALANDS LÄN</t>
        </is>
      </c>
      <c r="E388" t="inlineStr">
        <is>
          <t>TANUM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10675-2024</t>
        </is>
      </c>
      <c r="B389" s="1" t="n">
        <v>45369</v>
      </c>
      <c r="C389" s="1" t="n">
        <v>46205</v>
      </c>
      <c r="D389" t="inlineStr">
        <is>
          <t>VÄSTRA GÖTALANDS LÄN</t>
        </is>
      </c>
      <c r="E389" t="inlineStr">
        <is>
          <t>TANUM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42080-2021</t>
        </is>
      </c>
      <c r="B390" s="1" t="n">
        <v>44426</v>
      </c>
      <c r="C390" s="1" t="n">
        <v>46205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44812-2021</t>
        </is>
      </c>
      <c r="B391" s="1" t="n">
        <v>44438</v>
      </c>
      <c r="C391" s="1" t="n">
        <v>46205</v>
      </c>
      <c r="D391" t="inlineStr">
        <is>
          <t>VÄSTRA GÖTALANDS LÄN</t>
        </is>
      </c>
      <c r="E391" t="inlineStr">
        <is>
          <t>TANUM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45747-2021</t>
        </is>
      </c>
      <c r="B392" s="1" t="n">
        <v>44441</v>
      </c>
      <c r="C392" s="1" t="n">
        <v>46205</v>
      </c>
      <c r="D392" t="inlineStr">
        <is>
          <t>VÄSTRA GÖTALANDS LÄN</t>
        </is>
      </c>
      <c r="E392" t="inlineStr">
        <is>
          <t>TANUM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15061-2023</t>
        </is>
      </c>
      <c r="B393" s="1" t="n">
        <v>45015</v>
      </c>
      <c r="C393" s="1" t="n">
        <v>46205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26450-2026</t>
        </is>
      </c>
      <c r="B394" s="1" t="n">
        <v>46183</v>
      </c>
      <c r="C394" s="1" t="n">
        <v>46205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32683-2025</t>
        </is>
      </c>
      <c r="B395" s="1" t="n">
        <v>45838</v>
      </c>
      <c r="C395" s="1" t="n">
        <v>46205</v>
      </c>
      <c r="D395" t="inlineStr">
        <is>
          <t>VÄSTRA GÖTALANDS LÄN</t>
        </is>
      </c>
      <c r="E395" t="inlineStr">
        <is>
          <t>TANUM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32684-2025</t>
        </is>
      </c>
      <c r="B396" s="1" t="n">
        <v>45837</v>
      </c>
      <c r="C396" s="1" t="n">
        <v>46205</v>
      </c>
      <c r="D396" t="inlineStr">
        <is>
          <t>VÄSTRA GÖTALANDS LÄN</t>
        </is>
      </c>
      <c r="E396" t="inlineStr">
        <is>
          <t>TANUM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2095-2024</t>
        </is>
      </c>
      <c r="B397" s="1" t="n">
        <v>45309</v>
      </c>
      <c r="C397" s="1" t="n">
        <v>46205</v>
      </c>
      <c r="D397" t="inlineStr">
        <is>
          <t>VÄSTRA GÖTALANDS LÄN</t>
        </is>
      </c>
      <c r="E397" t="inlineStr">
        <is>
          <t>TANUM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16662-2023</t>
        </is>
      </c>
      <c r="B398" s="1" t="n">
        <v>45030</v>
      </c>
      <c r="C398" s="1" t="n">
        <v>46205</v>
      </c>
      <c r="D398" t="inlineStr">
        <is>
          <t>VÄSTRA GÖTALANDS LÄN</t>
        </is>
      </c>
      <c r="E398" t="inlineStr">
        <is>
          <t>TANUM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63173-2023</t>
        </is>
      </c>
      <c r="B399" s="1" t="n">
        <v>45273</v>
      </c>
      <c r="C399" s="1" t="n">
        <v>46205</v>
      </c>
      <c r="D399" t="inlineStr">
        <is>
          <t>VÄSTRA GÖTALANDS LÄN</t>
        </is>
      </c>
      <c r="E399" t="inlineStr">
        <is>
          <t>TANUM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62516-2023</t>
        </is>
      </c>
      <c r="B400" s="1" t="n">
        <v>45267</v>
      </c>
      <c r="C400" s="1" t="n">
        <v>46205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61213-2022</t>
        </is>
      </c>
      <c r="B401" s="1" t="n">
        <v>44908</v>
      </c>
      <c r="C401" s="1" t="n">
        <v>46205</v>
      </c>
      <c r="D401" t="inlineStr">
        <is>
          <t>VÄSTRA GÖTALANDS LÄN</t>
        </is>
      </c>
      <c r="E401" t="inlineStr">
        <is>
          <t>TANUM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60624-2021</t>
        </is>
      </c>
      <c r="B402" s="1" t="n">
        <v>44496</v>
      </c>
      <c r="C402" s="1" t="n">
        <v>46205</v>
      </c>
      <c r="D402" t="inlineStr">
        <is>
          <t>VÄSTRA GÖTALANDS LÄN</t>
        </is>
      </c>
      <c r="E402" t="inlineStr">
        <is>
          <t>TANUM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63834-2023</t>
        </is>
      </c>
      <c r="B403" s="1" t="n">
        <v>45278</v>
      </c>
      <c r="C403" s="1" t="n">
        <v>46205</v>
      </c>
      <c r="D403" t="inlineStr">
        <is>
          <t>VÄSTRA GÖTALANDS LÄN</t>
        </is>
      </c>
      <c r="E403" t="inlineStr">
        <is>
          <t>TANUM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28795-2023</t>
        </is>
      </c>
      <c r="B404" s="1" t="n">
        <v>45104</v>
      </c>
      <c r="C404" s="1" t="n">
        <v>46205</v>
      </c>
      <c r="D404" t="inlineStr">
        <is>
          <t>VÄSTRA GÖTALANDS LÄN</t>
        </is>
      </c>
      <c r="E404" t="inlineStr">
        <is>
          <t>TANUM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838-2026</t>
        </is>
      </c>
      <c r="B405" s="1" t="n">
        <v>46029</v>
      </c>
      <c r="C405" s="1" t="n">
        <v>46205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57029-2024</t>
        </is>
      </c>
      <c r="B406" s="1" t="n">
        <v>45628</v>
      </c>
      <c r="C406" s="1" t="n">
        <v>46205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61715-2023</t>
        </is>
      </c>
      <c r="B407" s="1" t="n">
        <v>45265</v>
      </c>
      <c r="C407" s="1" t="n">
        <v>46205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8474-2024</t>
        </is>
      </c>
      <c r="B408" s="1" t="n">
        <v>45355</v>
      </c>
      <c r="C408" s="1" t="n">
        <v>46205</v>
      </c>
      <c r="D408" t="inlineStr">
        <is>
          <t>VÄSTRA GÖTALANDS LÄN</t>
        </is>
      </c>
      <c r="E408" t="inlineStr">
        <is>
          <t>TANUM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43242-2022</t>
        </is>
      </c>
      <c r="B409" s="1" t="n">
        <v>44834</v>
      </c>
      <c r="C409" s="1" t="n">
        <v>46205</v>
      </c>
      <c r="D409" t="inlineStr">
        <is>
          <t>VÄSTRA GÖTALANDS LÄN</t>
        </is>
      </c>
      <c r="E409" t="inlineStr">
        <is>
          <t>TANUM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1326-2024</t>
        </is>
      </c>
      <c r="B410" s="1" t="n">
        <v>45303</v>
      </c>
      <c r="C410" s="1" t="n">
        <v>46205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57684-2022</t>
        </is>
      </c>
      <c r="B411" s="1" t="n">
        <v>44897</v>
      </c>
      <c r="C411" s="1" t="n">
        <v>46205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3487-2022</t>
        </is>
      </c>
      <c r="B412" s="1" t="n">
        <v>44585</v>
      </c>
      <c r="C412" s="1" t="n">
        <v>46205</v>
      </c>
      <c r="D412" t="inlineStr">
        <is>
          <t>VÄSTRA GÖTALANDS LÄN</t>
        </is>
      </c>
      <c r="E412" t="inlineStr">
        <is>
          <t>TANUM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59821-2022</t>
        </is>
      </c>
      <c r="B413" s="1" t="n">
        <v>44908</v>
      </c>
      <c r="C413" s="1" t="n">
        <v>46205</v>
      </c>
      <c r="D413" t="inlineStr">
        <is>
          <t>VÄSTRA GÖTALANDS LÄN</t>
        </is>
      </c>
      <c r="E413" t="inlineStr">
        <is>
          <t>TANUM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1440-2022</t>
        </is>
      </c>
      <c r="B414" s="1" t="n">
        <v>44573</v>
      </c>
      <c r="C414" s="1" t="n">
        <v>46205</v>
      </c>
      <c r="D414" t="inlineStr">
        <is>
          <t>VÄSTRA GÖTALANDS LÄN</t>
        </is>
      </c>
      <c r="E414" t="inlineStr">
        <is>
          <t>TANUM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60911-2023</t>
        </is>
      </c>
      <c r="B415" s="1" t="n">
        <v>45261</v>
      </c>
      <c r="C415" s="1" t="n">
        <v>46205</v>
      </c>
      <c r="D415" t="inlineStr">
        <is>
          <t>VÄSTRA GÖTALANDS LÄN</t>
        </is>
      </c>
      <c r="E415" t="inlineStr">
        <is>
          <t>TANUM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43594-2023</t>
        </is>
      </c>
      <c r="B416" s="1" t="n">
        <v>45184</v>
      </c>
      <c r="C416" s="1" t="n">
        <v>46205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27656-2026</t>
        </is>
      </c>
      <c r="B417" s="1" t="n">
        <v>46190</v>
      </c>
      <c r="C417" s="1" t="n">
        <v>46205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37099-2023</t>
        </is>
      </c>
      <c r="B418" s="1" t="n">
        <v>45155</v>
      </c>
      <c r="C418" s="1" t="n">
        <v>46205</v>
      </c>
      <c r="D418" t="inlineStr">
        <is>
          <t>VÄSTRA GÖTALANDS LÄN</t>
        </is>
      </c>
      <c r="E418" t="inlineStr">
        <is>
          <t>TANUM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50941-2022</t>
        </is>
      </c>
      <c r="B419" s="1" t="n">
        <v>44867</v>
      </c>
      <c r="C419" s="1" t="n">
        <v>46205</v>
      </c>
      <c r="D419" t="inlineStr">
        <is>
          <t>VÄSTRA GÖTALANDS LÄN</t>
        </is>
      </c>
      <c r="E419" t="inlineStr">
        <is>
          <t>TANUM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11145-2024</t>
        </is>
      </c>
      <c r="B420" s="1" t="n">
        <v>45371</v>
      </c>
      <c r="C420" s="1" t="n">
        <v>46205</v>
      </c>
      <c r="D420" t="inlineStr">
        <is>
          <t>VÄSTRA GÖTALANDS LÄN</t>
        </is>
      </c>
      <c r="E420" t="inlineStr">
        <is>
          <t>TANUM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7900-2024</t>
        </is>
      </c>
      <c r="B421" s="1" t="n">
        <v>45350</v>
      </c>
      <c r="C421" s="1" t="n">
        <v>46205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</v>
      </c>
      <c r="C422" s="1" t="n">
        <v>46205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13044-2023</t>
        </is>
      </c>
      <c r="B423" s="1" t="n">
        <v>45002</v>
      </c>
      <c r="C423" s="1" t="n">
        <v>46205</v>
      </c>
      <c r="D423" t="inlineStr">
        <is>
          <t>VÄSTRA GÖTALANDS LÄN</t>
        </is>
      </c>
      <c r="E423" t="inlineStr">
        <is>
          <t>TANUM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64997-2023</t>
        </is>
      </c>
      <c r="B424" s="1" t="n">
        <v>45286</v>
      </c>
      <c r="C424" s="1" t="n">
        <v>46205</v>
      </c>
      <c r="D424" t="inlineStr">
        <is>
          <t>VÄSTRA GÖTALANDS LÄN</t>
        </is>
      </c>
      <c r="E424" t="inlineStr">
        <is>
          <t>TANUM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37977-2024</t>
        </is>
      </c>
      <c r="B425" s="1" t="n">
        <v>45544</v>
      </c>
      <c r="C425" s="1" t="n">
        <v>46205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17471-2023</t>
        </is>
      </c>
      <c r="B426" s="1" t="n">
        <v>45036</v>
      </c>
      <c r="C426" s="1" t="n">
        <v>46205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10896-2025</t>
        </is>
      </c>
      <c r="B427" s="1" t="n">
        <v>45722</v>
      </c>
      <c r="C427" s="1" t="n">
        <v>46205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13432-2024</t>
        </is>
      </c>
      <c r="B428" s="1" t="n">
        <v>45387</v>
      </c>
      <c r="C428" s="1" t="n">
        <v>46205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2706-2023</t>
        </is>
      </c>
      <c r="B429" s="1" t="n">
        <v>44944</v>
      </c>
      <c r="C429" s="1" t="n">
        <v>46205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36929-2023</t>
        </is>
      </c>
      <c r="B430" s="1" t="n">
        <v>45153</v>
      </c>
      <c r="C430" s="1" t="n">
        <v>46205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49746-2021</t>
        </is>
      </c>
      <c r="B431" s="1" t="n">
        <v>44455</v>
      </c>
      <c r="C431" s="1" t="n">
        <v>46205</v>
      </c>
      <c r="D431" t="inlineStr">
        <is>
          <t>VÄSTRA GÖTALANDS LÄN</t>
        </is>
      </c>
      <c r="E431" t="inlineStr">
        <is>
          <t>TANUM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2446-2024</t>
        </is>
      </c>
      <c r="B432" s="1" t="n">
        <v>45311</v>
      </c>
      <c r="C432" s="1" t="n">
        <v>46205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50183-2024</t>
        </is>
      </c>
      <c r="B433" s="1" t="n">
        <v>45599</v>
      </c>
      <c r="C433" s="1" t="n">
        <v>46205</v>
      </c>
      <c r="D433" t="inlineStr">
        <is>
          <t>VÄSTRA GÖTALANDS LÄN</t>
        </is>
      </c>
      <c r="E433" t="inlineStr">
        <is>
          <t>TANUM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28997-2026</t>
        </is>
      </c>
      <c r="B434" s="1" t="n">
        <v>46199</v>
      </c>
      <c r="C434" s="1" t="n">
        <v>46205</v>
      </c>
      <c r="D434" t="inlineStr">
        <is>
          <t>VÄSTRA GÖTALANDS LÄN</t>
        </is>
      </c>
      <c r="E434" t="inlineStr">
        <is>
          <t>TANUM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5392-2025</t>
        </is>
      </c>
      <c r="B435" s="1" t="n">
        <v>45692</v>
      </c>
      <c r="C435" s="1" t="n">
        <v>46205</v>
      </c>
      <c r="D435" t="inlineStr">
        <is>
          <t>VÄSTRA GÖTALANDS LÄN</t>
        </is>
      </c>
      <c r="E435" t="inlineStr">
        <is>
          <t>TANUM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38500-2023</t>
        </is>
      </c>
      <c r="B436" s="1" t="n">
        <v>45162</v>
      </c>
      <c r="C436" s="1" t="n">
        <v>46205</v>
      </c>
      <c r="D436" t="inlineStr">
        <is>
          <t>VÄSTRA GÖTALANDS LÄN</t>
        </is>
      </c>
      <c r="E436" t="inlineStr">
        <is>
          <t>TANUM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29694-2026</t>
        </is>
      </c>
      <c r="B437" s="1" t="n">
        <v>46204</v>
      </c>
      <c r="C437" s="1" t="n">
        <v>46205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32757-2024</t>
        </is>
      </c>
      <c r="B438" s="1" t="n">
        <v>45516</v>
      </c>
      <c r="C438" s="1" t="n">
        <v>46205</v>
      </c>
      <c r="D438" t="inlineStr">
        <is>
          <t>VÄSTRA GÖTALANDS LÄN</t>
        </is>
      </c>
      <c r="E438" t="inlineStr">
        <is>
          <t>TANUM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17515-2024</t>
        </is>
      </c>
      <c r="B439" s="1" t="n">
        <v>45415</v>
      </c>
      <c r="C439" s="1" t="n">
        <v>46205</v>
      </c>
      <c r="D439" t="inlineStr">
        <is>
          <t>VÄSTRA GÖTALANDS LÄN</t>
        </is>
      </c>
      <c r="E439" t="inlineStr">
        <is>
          <t>TANUM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56379-2022</t>
        </is>
      </c>
      <c r="B440" s="1" t="n">
        <v>44890</v>
      </c>
      <c r="C440" s="1" t="n">
        <v>46205</v>
      </c>
      <c r="D440" t="inlineStr">
        <is>
          <t>VÄSTRA GÖTALANDS LÄN</t>
        </is>
      </c>
      <c r="E440" t="inlineStr">
        <is>
          <t>TANUM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57889-2022</t>
        </is>
      </c>
      <c r="B441" s="1" t="n">
        <v>44900</v>
      </c>
      <c r="C441" s="1" t="n">
        <v>46205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26624-2024</t>
        </is>
      </c>
      <c r="B442" s="1" t="n">
        <v>45469</v>
      </c>
      <c r="C442" s="1" t="n">
        <v>46205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23375-2026</t>
        </is>
      </c>
      <c r="B443" s="1" t="n">
        <v>46162</v>
      </c>
      <c r="C443" s="1" t="n">
        <v>46205</v>
      </c>
      <c r="D443" t="inlineStr">
        <is>
          <t>VÄSTRA GÖTALANDS LÄN</t>
        </is>
      </c>
      <c r="E443" t="inlineStr">
        <is>
          <t>TANUM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16644-2025</t>
        </is>
      </c>
      <c r="B444" s="1" t="n">
        <v>45754</v>
      </c>
      <c r="C444" s="1" t="n">
        <v>46205</v>
      </c>
      <c r="D444" t="inlineStr">
        <is>
          <t>VÄSTRA GÖTALANDS LÄN</t>
        </is>
      </c>
      <c r="E444" t="inlineStr">
        <is>
          <t>TANUM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30495-2023</t>
        </is>
      </c>
      <c r="B445" s="1" t="n">
        <v>45102</v>
      </c>
      <c r="C445" s="1" t="n">
        <v>46205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48987-2023</t>
        </is>
      </c>
      <c r="B446" s="1" t="n">
        <v>45209</v>
      </c>
      <c r="C446" s="1" t="n">
        <v>46205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8600-2024</t>
        </is>
      </c>
      <c r="B447" s="1" t="n">
        <v>45355</v>
      </c>
      <c r="C447" s="1" t="n">
        <v>46205</v>
      </c>
      <c r="D447" t="inlineStr">
        <is>
          <t>VÄSTRA GÖTALANDS LÄN</t>
        </is>
      </c>
      <c r="E447" t="inlineStr">
        <is>
          <t>TANUM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178-2025</t>
        </is>
      </c>
      <c r="B448" s="1" t="n">
        <v>45659</v>
      </c>
      <c r="C448" s="1" t="n">
        <v>46205</v>
      </c>
      <c r="D448" t="inlineStr">
        <is>
          <t>VÄSTRA GÖTALANDS LÄN</t>
        </is>
      </c>
      <c r="E448" t="inlineStr">
        <is>
          <t>TANUM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58661-2024</t>
        </is>
      </c>
      <c r="B449" s="1" t="n">
        <v>45635</v>
      </c>
      <c r="C449" s="1" t="n">
        <v>46205</v>
      </c>
      <c r="D449" t="inlineStr">
        <is>
          <t>VÄSTRA GÖTALANDS LÄN</t>
        </is>
      </c>
      <c r="E449" t="inlineStr">
        <is>
          <t>TANUM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55780-2023</t>
        </is>
      </c>
      <c r="B450" s="1" t="n">
        <v>45239</v>
      </c>
      <c r="C450" s="1" t="n">
        <v>46205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41297-2023</t>
        </is>
      </c>
      <c r="B451" s="1" t="n">
        <v>45174</v>
      </c>
      <c r="C451" s="1" t="n">
        <v>46205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23173-2023</t>
        </is>
      </c>
      <c r="B452" s="1" t="n">
        <v>45075</v>
      </c>
      <c r="C452" s="1" t="n">
        <v>46205</v>
      </c>
      <c r="D452" t="inlineStr">
        <is>
          <t>VÄSTRA GÖTALANDS LÄN</t>
        </is>
      </c>
      <c r="E452" t="inlineStr">
        <is>
          <t>TANUM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41067-2023</t>
        </is>
      </c>
      <c r="B453" s="1" t="n">
        <v>45170</v>
      </c>
      <c r="C453" s="1" t="n">
        <v>46205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46241-2023</t>
        </is>
      </c>
      <c r="B454" s="1" t="n">
        <v>45196</v>
      </c>
      <c r="C454" s="1" t="n">
        <v>46205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14544-2025</t>
        </is>
      </c>
      <c r="B455" s="1" t="n">
        <v>45741</v>
      </c>
      <c r="C455" s="1" t="n">
        <v>46205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63132-2023</t>
        </is>
      </c>
      <c r="B456" s="1" t="n">
        <v>45273</v>
      </c>
      <c r="C456" s="1" t="n">
        <v>46205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5655-2024</t>
        </is>
      </c>
      <c r="B457" s="1" t="n">
        <v>45334</v>
      </c>
      <c r="C457" s="1" t="n">
        <v>46205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16471-2023</t>
        </is>
      </c>
      <c r="B458" s="1" t="n">
        <v>45026</v>
      </c>
      <c r="C458" s="1" t="n">
        <v>46205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11945-2025</t>
        </is>
      </c>
      <c r="B459" s="1" t="n">
        <v>45728</v>
      </c>
      <c r="C459" s="1" t="n">
        <v>46205</v>
      </c>
      <c r="D459" t="inlineStr">
        <is>
          <t>VÄSTRA GÖTALANDS LÄN</t>
        </is>
      </c>
      <c r="E459" t="inlineStr">
        <is>
          <t>TANUM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63175-2023</t>
        </is>
      </c>
      <c r="B460" s="1" t="n">
        <v>45273</v>
      </c>
      <c r="C460" s="1" t="n">
        <v>46205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55022-2023</t>
        </is>
      </c>
      <c r="B461" s="1" t="n">
        <v>45237</v>
      </c>
      <c r="C461" s="1" t="n">
        <v>46205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15381-2025</t>
        </is>
      </c>
      <c r="B462" s="1" t="n">
        <v>45747</v>
      </c>
      <c r="C462" s="1" t="n">
        <v>46205</v>
      </c>
      <c r="D462" t="inlineStr">
        <is>
          <t>VÄSTRA GÖTALANDS LÄN</t>
        </is>
      </c>
      <c r="E462" t="inlineStr">
        <is>
          <t>TANUM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23696-2024</t>
        </is>
      </c>
      <c r="B463" s="1" t="n">
        <v>45454</v>
      </c>
      <c r="C463" s="1" t="n">
        <v>46205</v>
      </c>
      <c r="D463" t="inlineStr">
        <is>
          <t>VÄSTRA GÖTALANDS LÄN</t>
        </is>
      </c>
      <c r="E463" t="inlineStr">
        <is>
          <t>TANUM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32775-2024</t>
        </is>
      </c>
      <c r="B464" s="1" t="n">
        <v>45515</v>
      </c>
      <c r="C464" s="1" t="n">
        <v>46205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51083-2024</t>
        </is>
      </c>
      <c r="B465" s="1" t="n">
        <v>45603</v>
      </c>
      <c r="C465" s="1" t="n">
        <v>46205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44889-2022</t>
        </is>
      </c>
      <c r="B466" s="1" t="n">
        <v>44841</v>
      </c>
      <c r="C466" s="1" t="n">
        <v>46205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15691-2025</t>
        </is>
      </c>
      <c r="B467" s="1" t="n">
        <v>45748</v>
      </c>
      <c r="C467" s="1" t="n">
        <v>46205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23609-2023</t>
        </is>
      </c>
      <c r="B468" s="1" t="n">
        <v>45072</v>
      </c>
      <c r="C468" s="1" t="n">
        <v>46205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22666-2025</t>
        </is>
      </c>
      <c r="B469" s="1" t="n">
        <v>45789</v>
      </c>
      <c r="C469" s="1" t="n">
        <v>46205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22663-2025</t>
        </is>
      </c>
      <c r="B470" s="1" t="n">
        <v>45789</v>
      </c>
      <c r="C470" s="1" t="n">
        <v>46205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23115-2025</t>
        </is>
      </c>
      <c r="B471" s="1" t="n">
        <v>45791</v>
      </c>
      <c r="C471" s="1" t="n">
        <v>46205</v>
      </c>
      <c r="D471" t="inlineStr">
        <is>
          <t>VÄSTRA GÖTALANDS LÄN</t>
        </is>
      </c>
      <c r="E471" t="inlineStr">
        <is>
          <t>TANUM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14965-2025</t>
        </is>
      </c>
      <c r="B472" s="1" t="n">
        <v>45743</v>
      </c>
      <c r="C472" s="1" t="n">
        <v>46205</v>
      </c>
      <c r="D472" t="inlineStr">
        <is>
          <t>VÄSTRA GÖTALANDS LÄN</t>
        </is>
      </c>
      <c r="E472" t="inlineStr">
        <is>
          <t>TANUM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13832-2025</t>
        </is>
      </c>
      <c r="B473" s="1" t="n">
        <v>45737</v>
      </c>
      <c r="C473" s="1" t="n">
        <v>46205</v>
      </c>
      <c r="D473" t="inlineStr">
        <is>
          <t>VÄSTRA GÖTALANDS LÄN</t>
        </is>
      </c>
      <c r="E473" t="inlineStr">
        <is>
          <t>TANUM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13810-2025</t>
        </is>
      </c>
      <c r="B474" s="1" t="n">
        <v>45737</v>
      </c>
      <c r="C474" s="1" t="n">
        <v>46205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11487-2025</t>
        </is>
      </c>
      <c r="B475" s="1" t="n">
        <v>45726</v>
      </c>
      <c r="C475" s="1" t="n">
        <v>46205</v>
      </c>
      <c r="D475" t="inlineStr">
        <is>
          <t>VÄSTRA GÖTALANDS LÄN</t>
        </is>
      </c>
      <c r="E475" t="inlineStr">
        <is>
          <t>TANUM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24697-2023</t>
        </is>
      </c>
      <c r="B476" s="1" t="n">
        <v>45084</v>
      </c>
      <c r="C476" s="1" t="n">
        <v>46205</v>
      </c>
      <c r="D476" t="inlineStr">
        <is>
          <t>VÄSTRA GÖTALANDS LÄN</t>
        </is>
      </c>
      <c r="E476" t="inlineStr">
        <is>
          <t>TANUM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985-2024</t>
        </is>
      </c>
      <c r="B477" s="1" t="n">
        <v>45301</v>
      </c>
      <c r="C477" s="1" t="n">
        <v>46205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39480-2024</t>
        </is>
      </c>
      <c r="B478" s="1" t="n">
        <v>45551</v>
      </c>
      <c r="C478" s="1" t="n">
        <v>46205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14012-2024</t>
        </is>
      </c>
      <c r="B479" s="1" t="n">
        <v>45392</v>
      </c>
      <c r="C479" s="1" t="n">
        <v>46205</v>
      </c>
      <c r="D479" t="inlineStr">
        <is>
          <t>VÄSTRA GÖTALANDS LÄN</t>
        </is>
      </c>
      <c r="E479" t="inlineStr">
        <is>
          <t>TANUM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53421-2022</t>
        </is>
      </c>
      <c r="B480" s="1" t="n">
        <v>44879</v>
      </c>
      <c r="C480" s="1" t="n">
        <v>46205</v>
      </c>
      <c r="D480" t="inlineStr">
        <is>
          <t>VÄSTRA GÖTALANDS LÄN</t>
        </is>
      </c>
      <c r="E480" t="inlineStr">
        <is>
          <t>TANUM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14895-2025</t>
        </is>
      </c>
      <c r="B481" s="1" t="n">
        <v>45743</v>
      </c>
      <c r="C481" s="1" t="n">
        <v>46205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9697-2024</t>
        </is>
      </c>
      <c r="B482" s="1" t="n">
        <v>45362</v>
      </c>
      <c r="C482" s="1" t="n">
        <v>46205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11936-2025</t>
        </is>
      </c>
      <c r="B483" s="1" t="n">
        <v>45728</v>
      </c>
      <c r="C483" s="1" t="n">
        <v>46205</v>
      </c>
      <c r="D483" t="inlineStr">
        <is>
          <t>VÄSTRA GÖTALANDS LÄN</t>
        </is>
      </c>
      <c r="E483" t="inlineStr">
        <is>
          <t>TANUM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2026-07-02T00:58:26Z</dcterms:created>
  <dcterms:modified xmlns:dcterms="http://purl.org/dc/terms/" xmlns:xsi="http://www.w3.org/2001/XMLSchema-instance" xsi:type="dcterms:W3CDTF">2026-07-02T00:58:26Z</dcterms:modified>
</cp:coreProperties>
</file>