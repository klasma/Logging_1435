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45667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45667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45667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45667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45667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45667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45667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45667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45667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11943-2024</t>
        </is>
      </c>
      <c r="B11" s="1" t="n">
        <v>45376</v>
      </c>
      <c r="C11" s="1" t="n">
        <v>45667</v>
      </c>
      <c r="D11" t="inlineStr">
        <is>
          <t>VÄSTRA GÖTALANDS LÄN</t>
        </is>
      </c>
      <c r="E11" t="inlineStr">
        <is>
          <t>TANUM</t>
        </is>
      </c>
      <c r="G11" t="n">
        <v>8.699999999999999</v>
      </c>
      <c r="H11" t="n">
        <v>5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Kambräken
Fläcknycklar
Lopplummer
Mattlummer
Revlummer</t>
        </is>
      </c>
      <c r="S11">
        <f>HYPERLINK("https://klasma.github.io/Logging_1435/artfynd/A 11943-2024 artfynd.xlsx", "A 11943-2024")</f>
        <v/>
      </c>
      <c r="T11">
        <f>HYPERLINK("https://klasma.github.io/Logging_1435/kartor/A 11943-2024 karta.png", "A 11943-2024")</f>
        <v/>
      </c>
      <c r="U11">
        <f>HYPERLINK("https://klasma.github.io/Logging_1435/knärot/A 11943-2024 karta knärot.png", "A 11943-2024")</f>
        <v/>
      </c>
      <c r="V11">
        <f>HYPERLINK("https://klasma.github.io/Logging_1435/klagomål/A 11943-2024 FSC-klagomål.docx", "A 11943-2024")</f>
        <v/>
      </c>
      <c r="W11">
        <f>HYPERLINK("https://klasma.github.io/Logging_1435/klagomålsmail/A 11943-2024 FSC-klagomål mail.docx", "A 11943-2024")</f>
        <v/>
      </c>
      <c r="X11">
        <f>HYPERLINK("https://klasma.github.io/Logging_1435/tillsyn/A 11943-2024 tillsynsbegäran.docx", "A 11943-2024")</f>
        <v/>
      </c>
      <c r="Y11">
        <f>HYPERLINK("https://klasma.github.io/Logging_1435/tillsynsmail/A 11943-2024 tillsynsbegäran mail.docx", "A 11943-2024")</f>
        <v/>
      </c>
    </row>
    <row r="12" ht="15" customHeight="1">
      <c r="A12" t="inlineStr">
        <is>
          <t>A 45388-2019</t>
        </is>
      </c>
      <c r="B12" s="1" t="n">
        <v>43707</v>
      </c>
      <c r="C12" s="1" t="n">
        <v>45667</v>
      </c>
      <c r="D12" t="inlineStr">
        <is>
          <t>VÄSTRA GÖTALANDS LÄN</t>
        </is>
      </c>
      <c r="E12" t="inlineStr">
        <is>
          <t>TANUM</t>
        </is>
      </c>
      <c r="G12" t="n">
        <v>2.4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Järpe
Spillkråka
Stor revmossa
Västlig hakmossa
Revlummer</t>
        </is>
      </c>
      <c r="S12">
        <f>HYPERLINK("https://klasma.github.io/Logging_1435/artfynd/A 45388-2019 artfynd.xlsx", "A 45388-2019")</f>
        <v/>
      </c>
      <c r="T12">
        <f>HYPERLINK("https://klasma.github.io/Logging_1435/kartor/A 45388-2019 karta.png", "A 45388-2019")</f>
        <v/>
      </c>
      <c r="V12">
        <f>HYPERLINK("https://klasma.github.io/Logging_1435/klagomål/A 45388-2019 FSC-klagomål.docx", "A 45388-2019")</f>
        <v/>
      </c>
      <c r="W12">
        <f>HYPERLINK("https://klasma.github.io/Logging_1435/klagomålsmail/A 45388-2019 FSC-klagomål mail.docx", "A 45388-2019")</f>
        <v/>
      </c>
      <c r="X12">
        <f>HYPERLINK("https://klasma.github.io/Logging_1435/tillsyn/A 45388-2019 tillsynsbegäran.docx", "A 45388-2019")</f>
        <v/>
      </c>
      <c r="Y12">
        <f>HYPERLINK("https://klasma.github.io/Logging_1435/tillsynsmail/A 45388-2019 tillsynsbegäran mail.docx", "A 45388-2019")</f>
        <v/>
      </c>
      <c r="Z12">
        <f>HYPERLINK("https://klasma.github.io/Logging_1435/fåglar/A 45388-2019 prioriterade fågelarter.docx", "A 45388-2019")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45667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45667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45667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45667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45667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45667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45667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45667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12684-2023</t>
        </is>
      </c>
      <c r="B21" s="1" t="n">
        <v>45000</v>
      </c>
      <c r="C21" s="1" t="n">
        <v>45667</v>
      </c>
      <c r="D21" t="inlineStr">
        <is>
          <t>VÄSTRA GÖTALANDS LÄN</t>
        </is>
      </c>
      <c r="E21" t="inlineStr">
        <is>
          <t>TANUM</t>
        </is>
      </c>
      <c r="G21" t="n">
        <v>1.6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Dropptaggsvamp
Tjäder</t>
        </is>
      </c>
      <c r="S21">
        <f>HYPERLINK("https://klasma.github.io/Logging_1435/artfynd/A 12684-2023 artfynd.xlsx", "A 12684-2023")</f>
        <v/>
      </c>
      <c r="T21">
        <f>HYPERLINK("https://klasma.github.io/Logging_1435/kartor/A 12684-2023 karta.png", "A 12684-2023")</f>
        <v/>
      </c>
      <c r="V21">
        <f>HYPERLINK("https://klasma.github.io/Logging_1435/klagomål/A 12684-2023 FSC-klagomål.docx", "A 12684-2023")</f>
        <v/>
      </c>
      <c r="W21">
        <f>HYPERLINK("https://klasma.github.io/Logging_1435/klagomålsmail/A 12684-2023 FSC-klagomål mail.docx", "A 12684-2023")</f>
        <v/>
      </c>
      <c r="X21">
        <f>HYPERLINK("https://klasma.github.io/Logging_1435/tillsyn/A 12684-2023 tillsynsbegäran.docx", "A 12684-2023")</f>
        <v/>
      </c>
      <c r="Y21">
        <f>HYPERLINK("https://klasma.github.io/Logging_1435/tillsynsmail/A 12684-2023 tillsynsbegäran mail.docx", "A 12684-2023")</f>
        <v/>
      </c>
      <c r="Z21">
        <f>HYPERLINK("https://klasma.github.io/Logging_1435/fåglar/A 12684-2023 prioriterade fågelarter.docx", "A 12684-2023")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45667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45667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30704-2020</t>
        </is>
      </c>
      <c r="B24" s="1" t="n">
        <v>44007</v>
      </c>
      <c r="C24" s="1" t="n">
        <v>45667</v>
      </c>
      <c r="D24" t="inlineStr">
        <is>
          <t>VÄSTRA GÖTALANDS LÄN</t>
        </is>
      </c>
      <c r="E24" t="inlineStr">
        <is>
          <t>TANUM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30704-2020 artfynd.xlsx", "A 30704-2020")</f>
        <v/>
      </c>
      <c r="T24">
        <f>HYPERLINK("https://klasma.github.io/Logging_1435/kartor/A 30704-2020 karta.png", "A 30704-2020")</f>
        <v/>
      </c>
      <c r="V24">
        <f>HYPERLINK("https://klasma.github.io/Logging_1435/klagomål/A 30704-2020 FSC-klagomål.docx", "A 30704-2020")</f>
        <v/>
      </c>
      <c r="W24">
        <f>HYPERLINK("https://klasma.github.io/Logging_1435/klagomålsmail/A 30704-2020 FSC-klagomål mail.docx", "A 30704-2020")</f>
        <v/>
      </c>
      <c r="X24">
        <f>HYPERLINK("https://klasma.github.io/Logging_1435/tillsyn/A 30704-2020 tillsynsbegäran.docx", "A 30704-2020")</f>
        <v/>
      </c>
      <c r="Y24">
        <f>HYPERLINK("https://klasma.github.io/Logging_1435/tillsynsmail/A 30704-2020 tillsynsbegäran mail.docx", "A 30704-2020")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45667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51267-2022</t>
        </is>
      </c>
      <c r="B26" s="1" t="n">
        <v>44868</v>
      </c>
      <c r="C26" s="1" t="n">
        <v>45667</v>
      </c>
      <c r="D26" t="inlineStr">
        <is>
          <t>VÄSTRA GÖTALANDS LÄN</t>
        </is>
      </c>
      <c r="E26" t="inlineStr">
        <is>
          <t>TANUM</t>
        </is>
      </c>
      <c r="G26" t="n">
        <v>9.800000000000001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Lopplummer</t>
        </is>
      </c>
      <c r="S26">
        <f>HYPERLINK("https://klasma.github.io/Logging_1435/artfynd/A 51267-2022 artfynd.xlsx", "A 51267-2022")</f>
        <v/>
      </c>
      <c r="T26">
        <f>HYPERLINK("https://klasma.github.io/Logging_1435/kartor/A 51267-2022 karta.png", "A 51267-2022")</f>
        <v/>
      </c>
      <c r="V26">
        <f>HYPERLINK("https://klasma.github.io/Logging_1435/klagomål/A 51267-2022 FSC-klagomål.docx", "A 51267-2022")</f>
        <v/>
      </c>
      <c r="W26">
        <f>HYPERLINK("https://klasma.github.io/Logging_1435/klagomålsmail/A 51267-2022 FSC-klagomål mail.docx", "A 51267-2022")</f>
        <v/>
      </c>
      <c r="X26">
        <f>HYPERLINK("https://klasma.github.io/Logging_1435/tillsyn/A 51267-2022 tillsynsbegäran.docx", "A 51267-2022")</f>
        <v/>
      </c>
      <c r="Y26">
        <f>HYPERLINK("https://klasma.github.io/Logging_1435/tillsynsmail/A 51267-2022 tillsynsbegäran mail.docx", "A 51267-2022")</f>
        <v/>
      </c>
    </row>
    <row r="27" ht="15" customHeight="1">
      <c r="A27" t="inlineStr">
        <is>
          <t>A 13936-2023</t>
        </is>
      </c>
      <c r="B27" s="1" t="n">
        <v>45008</v>
      </c>
      <c r="C27" s="1" t="n">
        <v>45667</v>
      </c>
      <c r="D27" t="inlineStr">
        <is>
          <t>VÄSTRA GÖTALANDS LÄN</t>
        </is>
      </c>
      <c r="E27" t="inlineStr">
        <is>
          <t>TANUM</t>
        </is>
      </c>
      <c r="G27" t="n">
        <v>3.5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Skrovellav
Spillkråka</t>
        </is>
      </c>
      <c r="S27">
        <f>HYPERLINK("https://klasma.github.io/Logging_1435/artfynd/A 13936-2023 artfynd.xlsx", "A 13936-2023")</f>
        <v/>
      </c>
      <c r="T27">
        <f>HYPERLINK("https://klasma.github.io/Logging_1435/kartor/A 13936-2023 karta.png", "A 13936-2023")</f>
        <v/>
      </c>
      <c r="V27">
        <f>HYPERLINK("https://klasma.github.io/Logging_1435/klagomål/A 13936-2023 FSC-klagomål.docx", "A 13936-2023")</f>
        <v/>
      </c>
      <c r="W27">
        <f>HYPERLINK("https://klasma.github.io/Logging_1435/klagomålsmail/A 13936-2023 FSC-klagomål mail.docx", "A 13936-2023")</f>
        <v/>
      </c>
      <c r="X27">
        <f>HYPERLINK("https://klasma.github.io/Logging_1435/tillsyn/A 13936-2023 tillsynsbegäran.docx", "A 13936-2023")</f>
        <v/>
      </c>
      <c r="Y27">
        <f>HYPERLINK("https://klasma.github.io/Logging_1435/tillsynsmail/A 13936-2023 tillsynsbegäran mail.docx", "A 13936-2023")</f>
        <v/>
      </c>
      <c r="Z27">
        <f>HYPERLINK("https://klasma.github.io/Logging_1435/fåglar/A 13936-2023 prioriterade fågelarter.docx", "A 13936-2023")</f>
        <v/>
      </c>
    </row>
    <row r="28" ht="15" customHeight="1">
      <c r="A28" t="inlineStr">
        <is>
          <t>A 46044-2023</t>
        </is>
      </c>
      <c r="B28" s="1" t="n">
        <v>45196</v>
      </c>
      <c r="C28" s="1" t="n">
        <v>45667</v>
      </c>
      <c r="D28" t="inlineStr">
        <is>
          <t>VÄSTRA GÖTALANDS LÄN</t>
        </is>
      </c>
      <c r="E28" t="inlineStr">
        <is>
          <t>TANUM</t>
        </is>
      </c>
      <c r="G28" t="n">
        <v>33.6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Korallblylav
Orre</t>
        </is>
      </c>
      <c r="S28">
        <f>HYPERLINK("https://klasma.github.io/Logging_1435/artfynd/A 46044-2023 artfynd.xlsx", "A 46044-2023")</f>
        <v/>
      </c>
      <c r="T28">
        <f>HYPERLINK("https://klasma.github.io/Logging_1435/kartor/A 46044-2023 karta.png", "A 46044-2023")</f>
        <v/>
      </c>
      <c r="V28">
        <f>HYPERLINK("https://klasma.github.io/Logging_1435/klagomål/A 46044-2023 FSC-klagomål.docx", "A 46044-2023")</f>
        <v/>
      </c>
      <c r="W28">
        <f>HYPERLINK("https://klasma.github.io/Logging_1435/klagomålsmail/A 46044-2023 FSC-klagomål mail.docx", "A 46044-2023")</f>
        <v/>
      </c>
      <c r="X28">
        <f>HYPERLINK("https://klasma.github.io/Logging_1435/tillsyn/A 46044-2023 tillsynsbegäran.docx", "A 46044-2023")</f>
        <v/>
      </c>
      <c r="Y28">
        <f>HYPERLINK("https://klasma.github.io/Logging_1435/tillsynsmail/A 46044-2023 tillsynsbegäran mail.docx", "A 46044-2023")</f>
        <v/>
      </c>
      <c r="Z28">
        <f>HYPERLINK("https://klasma.github.io/Logging_1435/fåglar/A 46044-2023 prioriterade fågelarter.docx", "A 46044-2023")</f>
        <v/>
      </c>
    </row>
    <row r="29" ht="15" customHeight="1">
      <c r="A29" t="inlineStr">
        <is>
          <t>A 63439-2023</t>
        </is>
      </c>
      <c r="B29" s="1" t="n">
        <v>45274</v>
      </c>
      <c r="C29" s="1" t="n">
        <v>45667</v>
      </c>
      <c r="D29" t="inlineStr">
        <is>
          <t>VÄSTRA GÖTALANDS LÄN</t>
        </is>
      </c>
      <c r="E29" t="inlineStr">
        <is>
          <t>TANUM</t>
        </is>
      </c>
      <c r="F29" t="inlineStr">
        <is>
          <t>Sveaskog</t>
        </is>
      </c>
      <c r="G29" t="n">
        <v>5.7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Lopplummer
Revlummer</t>
        </is>
      </c>
      <c r="S29">
        <f>HYPERLINK("https://klasma.github.io/Logging_1435/artfynd/A 63439-2023 artfynd.xlsx", "A 63439-2023")</f>
        <v/>
      </c>
      <c r="T29">
        <f>HYPERLINK("https://klasma.github.io/Logging_1435/kartor/A 63439-2023 karta.png", "A 63439-2023")</f>
        <v/>
      </c>
      <c r="V29">
        <f>HYPERLINK("https://klasma.github.io/Logging_1435/klagomål/A 63439-2023 FSC-klagomål.docx", "A 63439-2023")</f>
        <v/>
      </c>
      <c r="W29">
        <f>HYPERLINK("https://klasma.github.io/Logging_1435/klagomålsmail/A 63439-2023 FSC-klagomål mail.docx", "A 63439-2023")</f>
        <v/>
      </c>
      <c r="X29">
        <f>HYPERLINK("https://klasma.github.io/Logging_1435/tillsyn/A 63439-2023 tillsynsbegäran.docx", "A 63439-2023")</f>
        <v/>
      </c>
      <c r="Y29">
        <f>HYPERLINK("https://klasma.github.io/Logging_1435/tillsynsmail/A 63439-2023 tillsynsbegäran mail.docx", "A 63439-2023")</f>
        <v/>
      </c>
    </row>
    <row r="30" ht="15" customHeight="1">
      <c r="A30" t="inlineStr">
        <is>
          <t>A 23141-2024</t>
        </is>
      </c>
      <c r="B30" s="1" t="n">
        <v>45450</v>
      </c>
      <c r="C30" s="1" t="n">
        <v>45667</v>
      </c>
      <c r="D30" t="inlineStr">
        <is>
          <t>VÄSTRA GÖTALANDS LÄN</t>
        </is>
      </c>
      <c r="E30" t="inlineStr">
        <is>
          <t>TANUM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Pimpinellros
Mattlummer</t>
        </is>
      </c>
      <c r="S30">
        <f>HYPERLINK("https://klasma.github.io/Logging_1435/artfynd/A 23141-2024 artfynd.xlsx", "A 23141-2024")</f>
        <v/>
      </c>
      <c r="T30">
        <f>HYPERLINK("https://klasma.github.io/Logging_1435/kartor/A 23141-2024 karta.png", "A 23141-2024")</f>
        <v/>
      </c>
      <c r="V30">
        <f>HYPERLINK("https://klasma.github.io/Logging_1435/klagomål/A 23141-2024 FSC-klagomål.docx", "A 23141-2024")</f>
        <v/>
      </c>
      <c r="W30">
        <f>HYPERLINK("https://klasma.github.io/Logging_1435/klagomålsmail/A 23141-2024 FSC-klagomål mail.docx", "A 23141-2024")</f>
        <v/>
      </c>
      <c r="X30">
        <f>HYPERLINK("https://klasma.github.io/Logging_1435/tillsyn/A 23141-2024 tillsynsbegäran.docx", "A 23141-2024")</f>
        <v/>
      </c>
      <c r="Y30">
        <f>HYPERLINK("https://klasma.github.io/Logging_1435/tillsynsmail/A 23141-2024 tillsynsbegäran mail.docx", "A 23141-2024")</f>
        <v/>
      </c>
    </row>
    <row r="31" ht="15" customHeight="1">
      <c r="A31" t="inlineStr">
        <is>
          <t>A 19024-2019</t>
        </is>
      </c>
      <c r="B31" s="1" t="n">
        <v>43563</v>
      </c>
      <c r="C31" s="1" t="n">
        <v>45667</v>
      </c>
      <c r="D31" t="inlineStr">
        <is>
          <t>VÄSTRA GÖTALANDS LÄN</t>
        </is>
      </c>
      <c r="E31" t="inlineStr">
        <is>
          <t>TANUM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19024-2019 artfynd.xlsx", "A 19024-2019")</f>
        <v/>
      </c>
      <c r="T31">
        <f>HYPERLINK("https://klasma.github.io/Logging_1435/kartor/A 19024-2019 karta.png", "A 19024-2019")</f>
        <v/>
      </c>
      <c r="V31">
        <f>HYPERLINK("https://klasma.github.io/Logging_1435/klagomål/A 19024-2019 FSC-klagomål.docx", "A 19024-2019")</f>
        <v/>
      </c>
      <c r="W31">
        <f>HYPERLINK("https://klasma.github.io/Logging_1435/klagomålsmail/A 19024-2019 FSC-klagomål mail.docx", "A 19024-2019")</f>
        <v/>
      </c>
      <c r="X31">
        <f>HYPERLINK("https://klasma.github.io/Logging_1435/tillsyn/A 19024-2019 tillsynsbegäran.docx", "A 19024-2019")</f>
        <v/>
      </c>
      <c r="Y31">
        <f>HYPERLINK("https://klasma.github.io/Logging_1435/tillsynsmail/A 19024-2019 tillsynsbegäran mail.docx", "A 19024-2019")</f>
        <v/>
      </c>
    </row>
    <row r="32" ht="15" customHeight="1">
      <c r="A32" t="inlineStr">
        <is>
          <t>A 59936-2019</t>
        </is>
      </c>
      <c r="B32" s="1" t="n">
        <v>43775</v>
      </c>
      <c r="C32" s="1" t="n">
        <v>45667</v>
      </c>
      <c r="D32" t="inlineStr">
        <is>
          <t>VÄSTRA GÖTALANDS LÄN</t>
        </is>
      </c>
      <c r="E32" t="inlineStr">
        <is>
          <t>TANUM</t>
        </is>
      </c>
      <c r="G32" t="n">
        <v>20.2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59936-2019 artfynd.xlsx", "A 59936-2019")</f>
        <v/>
      </c>
      <c r="T32">
        <f>HYPERLINK("https://klasma.github.io/Logging_1435/kartor/A 59936-2019 karta.png", "A 59936-2019")</f>
        <v/>
      </c>
      <c r="V32">
        <f>HYPERLINK("https://klasma.github.io/Logging_1435/klagomål/A 59936-2019 FSC-klagomål.docx", "A 59936-2019")</f>
        <v/>
      </c>
      <c r="W32">
        <f>HYPERLINK("https://klasma.github.io/Logging_1435/klagomålsmail/A 59936-2019 FSC-klagomål mail.docx", "A 59936-2019")</f>
        <v/>
      </c>
      <c r="X32">
        <f>HYPERLINK("https://klasma.github.io/Logging_1435/tillsyn/A 59936-2019 tillsynsbegäran.docx", "A 59936-2019")</f>
        <v/>
      </c>
      <c r="Y32">
        <f>HYPERLINK("https://klasma.github.io/Logging_1435/tillsynsmail/A 59936-2019 tillsynsbegäran mail.docx", "A 59936-2019")</f>
        <v/>
      </c>
    </row>
    <row r="33" ht="15" customHeight="1">
      <c r="A33" t="inlineStr">
        <is>
          <t>A 24251-2020</t>
        </is>
      </c>
      <c r="B33" s="1" t="n">
        <v>43975</v>
      </c>
      <c r="C33" s="1" t="n">
        <v>45667</v>
      </c>
      <c r="D33" t="inlineStr">
        <is>
          <t>VÄSTRA GÖTALANDS LÄN</t>
        </is>
      </c>
      <c r="E33" t="inlineStr">
        <is>
          <t>TANUM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24251-2020 artfynd.xlsx", "A 24251-2020")</f>
        <v/>
      </c>
      <c r="T33">
        <f>HYPERLINK("https://klasma.github.io/Logging_1435/kartor/A 24251-2020 karta.png", "A 24251-2020")</f>
        <v/>
      </c>
      <c r="U33">
        <f>HYPERLINK("https://klasma.github.io/Logging_1435/knärot/A 24251-2020 karta knärot.png", "A 24251-2020")</f>
        <v/>
      </c>
      <c r="V33">
        <f>HYPERLINK("https://klasma.github.io/Logging_1435/klagomål/A 24251-2020 FSC-klagomål.docx", "A 24251-2020")</f>
        <v/>
      </c>
      <c r="W33">
        <f>HYPERLINK("https://klasma.github.io/Logging_1435/klagomålsmail/A 24251-2020 FSC-klagomål mail.docx", "A 24251-2020")</f>
        <v/>
      </c>
      <c r="X33">
        <f>HYPERLINK("https://klasma.github.io/Logging_1435/tillsyn/A 24251-2020 tillsynsbegäran.docx", "A 24251-2020")</f>
        <v/>
      </c>
      <c r="Y33">
        <f>HYPERLINK("https://klasma.github.io/Logging_1435/tillsynsmail/A 24251-2020 tillsynsbegäran mail.docx", "A 24251-2020")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45667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45667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45667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45667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45667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45667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45667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45667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45667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45667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45667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45667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45667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45667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45667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18878-2019</t>
        </is>
      </c>
      <c r="B49" s="1" t="n">
        <v>43563</v>
      </c>
      <c r="C49" s="1" t="n">
        <v>45667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20848-2019</t>
        </is>
      </c>
      <c r="B50" s="1" t="n">
        <v>43577</v>
      </c>
      <c r="C50" s="1" t="n">
        <v>45667</v>
      </c>
      <c r="D50" t="inlineStr">
        <is>
          <t>VÄSTRA GÖTALANDS LÄN</t>
        </is>
      </c>
      <c r="E50" t="inlineStr">
        <is>
          <t>TANUM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21267-2019</t>
        </is>
      </c>
      <c r="B51" s="1" t="n">
        <v>43579</v>
      </c>
      <c r="C51" s="1" t="n">
        <v>45667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21412-2019</t>
        </is>
      </c>
      <c r="B52" s="1" t="n">
        <v>43580</v>
      </c>
      <c r="C52" s="1" t="n">
        <v>45667</v>
      </c>
      <c r="D52" t="inlineStr">
        <is>
          <t>VÄSTRA GÖTALANDS LÄN</t>
        </is>
      </c>
      <c r="E52" t="inlineStr">
        <is>
          <t>TANUM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21866-2019</t>
        </is>
      </c>
      <c r="B53" s="1" t="n">
        <v>43584</v>
      </c>
      <c r="C53" s="1" t="n">
        <v>45667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22080-2019</t>
        </is>
      </c>
      <c r="B54" s="1" t="n">
        <v>43584</v>
      </c>
      <c r="C54" s="1" t="n">
        <v>45667</v>
      </c>
      <c r="D54" t="inlineStr">
        <is>
          <t>VÄSTRA GÖTALANDS LÄN</t>
        </is>
      </c>
      <c r="E54" t="inlineStr">
        <is>
          <t>TANUM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24883-2019</t>
        </is>
      </c>
      <c r="B55" s="1" t="n">
        <v>43599</v>
      </c>
      <c r="C55" s="1" t="n">
        <v>45667</v>
      </c>
      <c r="D55" t="inlineStr">
        <is>
          <t>VÄSTRA GÖTALANDS LÄN</t>
        </is>
      </c>
      <c r="E55" t="inlineStr">
        <is>
          <t>TANUM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25276-2019</t>
        </is>
      </c>
      <c r="B56" s="1" t="n">
        <v>43605</v>
      </c>
      <c r="C56" s="1" t="n">
        <v>45667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25302-2019</t>
        </is>
      </c>
      <c r="B57" s="1" t="n">
        <v>43605</v>
      </c>
      <c r="C57" s="1" t="n">
        <v>45667</v>
      </c>
      <c r="D57" t="inlineStr">
        <is>
          <t>VÄSTRA GÖTALANDS LÄN</t>
        </is>
      </c>
      <c r="E57" t="inlineStr">
        <is>
          <t>TANUM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25268-2019</t>
        </is>
      </c>
      <c r="B58" s="1" t="n">
        <v>43605</v>
      </c>
      <c r="C58" s="1" t="n">
        <v>45667</v>
      </c>
      <c r="D58" t="inlineStr">
        <is>
          <t>VÄSTRA GÖTALANDS LÄN</t>
        </is>
      </c>
      <c r="E58" t="inlineStr">
        <is>
          <t>TANUM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25369-2019</t>
        </is>
      </c>
      <c r="B59" s="1" t="n">
        <v>43606</v>
      </c>
      <c r="C59" s="1" t="n">
        <v>45667</v>
      </c>
      <c r="D59" t="inlineStr">
        <is>
          <t>VÄSTRA GÖTALANDS LÄN</t>
        </is>
      </c>
      <c r="E59" t="inlineStr">
        <is>
          <t>TANUM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25812-2019</t>
        </is>
      </c>
      <c r="B60" s="1" t="n">
        <v>43608</v>
      </c>
      <c r="C60" s="1" t="n">
        <v>45667</v>
      </c>
      <c r="D60" t="inlineStr">
        <is>
          <t>VÄSTRA GÖTALANDS LÄN</t>
        </is>
      </c>
      <c r="E60" t="inlineStr">
        <is>
          <t>TANUM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25836-2019</t>
        </is>
      </c>
      <c r="B61" s="1" t="n">
        <v>43608</v>
      </c>
      <c r="C61" s="1" t="n">
        <v>45667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25837-2019</t>
        </is>
      </c>
      <c r="B62" s="1" t="n">
        <v>43608</v>
      </c>
      <c r="C62" s="1" t="n">
        <v>45667</v>
      </c>
      <c r="D62" t="inlineStr">
        <is>
          <t>VÄSTRA GÖTALANDS LÄN</t>
        </is>
      </c>
      <c r="E62" t="inlineStr">
        <is>
          <t>TANUM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26722-2019</t>
        </is>
      </c>
      <c r="B63" s="1" t="n">
        <v>43613</v>
      </c>
      <c r="C63" s="1" t="n">
        <v>45667</v>
      </c>
      <c r="D63" t="inlineStr">
        <is>
          <t>VÄSTRA GÖTALANDS LÄN</t>
        </is>
      </c>
      <c r="E63" t="inlineStr">
        <is>
          <t>TANUM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26728-2019</t>
        </is>
      </c>
      <c r="B64" s="1" t="n">
        <v>43613</v>
      </c>
      <c r="C64" s="1" t="n">
        <v>45667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27100-2019</t>
        </is>
      </c>
      <c r="B65" s="1" t="n">
        <v>43614</v>
      </c>
      <c r="C65" s="1" t="n">
        <v>45667</v>
      </c>
      <c r="D65" t="inlineStr">
        <is>
          <t>VÄSTRA GÖTALANDS LÄN</t>
        </is>
      </c>
      <c r="E65" t="inlineStr">
        <is>
          <t>TANUM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30278-2019</t>
        </is>
      </c>
      <c r="B66" s="1" t="n">
        <v>43632</v>
      </c>
      <c r="C66" s="1" t="n">
        <v>45667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31918-2019</t>
        </is>
      </c>
      <c r="B67" s="1" t="n">
        <v>43643</v>
      </c>
      <c r="C67" s="1" t="n">
        <v>45667</v>
      </c>
      <c r="D67" t="inlineStr">
        <is>
          <t>VÄSTRA GÖTALANDS LÄN</t>
        </is>
      </c>
      <c r="E67" t="inlineStr">
        <is>
          <t>TANUM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33326-2019</t>
        </is>
      </c>
      <c r="B68" s="1" t="n">
        <v>43650</v>
      </c>
      <c r="C68" s="1" t="n">
        <v>45667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35383-2019</t>
        </is>
      </c>
      <c r="B69" s="1" t="n">
        <v>43651</v>
      </c>
      <c r="C69" s="1" t="n">
        <v>45667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34940-2019</t>
        </is>
      </c>
      <c r="B70" s="1" t="n">
        <v>43658</v>
      </c>
      <c r="C70" s="1" t="n">
        <v>45667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40587-2019</t>
        </is>
      </c>
      <c r="B71" s="1" t="n">
        <v>43696</v>
      </c>
      <c r="C71" s="1" t="n">
        <v>45667</v>
      </c>
      <c r="D71" t="inlineStr">
        <is>
          <t>VÄSTRA GÖTALANDS LÄN</t>
        </is>
      </c>
      <c r="E71" t="inlineStr">
        <is>
          <t>TANUM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43144-2019</t>
        </is>
      </c>
      <c r="B72" s="1" t="n">
        <v>43705</v>
      </c>
      <c r="C72" s="1" t="n">
        <v>45667</v>
      </c>
      <c r="D72" t="inlineStr">
        <is>
          <t>VÄSTRA GÖTALANDS LÄN</t>
        </is>
      </c>
      <c r="E72" t="inlineStr">
        <is>
          <t>TANUM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45478-2019</t>
        </is>
      </c>
      <c r="B73" s="1" t="n">
        <v>43710</v>
      </c>
      <c r="C73" s="1" t="n">
        <v>45667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45506-2019</t>
        </is>
      </c>
      <c r="B74" s="1" t="n">
        <v>43710</v>
      </c>
      <c r="C74" s="1" t="n">
        <v>45667</v>
      </c>
      <c r="D74" t="inlineStr">
        <is>
          <t>VÄSTRA GÖTALANDS LÄN</t>
        </is>
      </c>
      <c r="E74" t="inlineStr">
        <is>
          <t>TANUM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45503-2019</t>
        </is>
      </c>
      <c r="B75" s="1" t="n">
        <v>43710</v>
      </c>
      <c r="C75" s="1" t="n">
        <v>45667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45470-2019</t>
        </is>
      </c>
      <c r="B76" s="1" t="n">
        <v>43710</v>
      </c>
      <c r="C76" s="1" t="n">
        <v>45667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46420-2019</t>
        </is>
      </c>
      <c r="B77" s="1" t="n">
        <v>43716</v>
      </c>
      <c r="C77" s="1" t="n">
        <v>45667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51055-2019</t>
        </is>
      </c>
      <c r="B78" s="1" t="n">
        <v>43732</v>
      </c>
      <c r="C78" s="1" t="n">
        <v>45667</v>
      </c>
      <c r="D78" t="inlineStr">
        <is>
          <t>VÄSTRA GÖTALANDS LÄN</t>
        </is>
      </c>
      <c r="E78" t="inlineStr">
        <is>
          <t>TANUM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54161-2019</t>
        </is>
      </c>
      <c r="B79" s="1" t="n">
        <v>43745</v>
      </c>
      <c r="C79" s="1" t="n">
        <v>45667</v>
      </c>
      <c r="D79" t="inlineStr">
        <is>
          <t>VÄSTRA GÖTALANDS LÄN</t>
        </is>
      </c>
      <c r="E79" t="inlineStr">
        <is>
          <t>TANUM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52565-2019</t>
        </is>
      </c>
      <c r="B80" s="1" t="n">
        <v>43745</v>
      </c>
      <c r="C80" s="1" t="n">
        <v>45667</v>
      </c>
      <c r="D80" t="inlineStr">
        <is>
          <t>VÄSTRA GÖTALANDS LÄN</t>
        </is>
      </c>
      <c r="E80" t="inlineStr">
        <is>
          <t>TANUM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54157-2019</t>
        </is>
      </c>
      <c r="B81" s="1" t="n">
        <v>43745</v>
      </c>
      <c r="C81" s="1" t="n">
        <v>45667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53512-2019</t>
        </is>
      </c>
      <c r="B82" s="1" t="n">
        <v>43749</v>
      </c>
      <c r="C82" s="1" t="n">
        <v>45667</v>
      </c>
      <c r="D82" t="inlineStr">
        <is>
          <t>VÄSTRA GÖTALANDS LÄN</t>
        </is>
      </c>
      <c r="E82" t="inlineStr">
        <is>
          <t>TANUM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53577-2019</t>
        </is>
      </c>
      <c r="B83" s="1" t="n">
        <v>43749</v>
      </c>
      <c r="C83" s="1" t="n">
        <v>45667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54531-2019</t>
        </is>
      </c>
      <c r="B84" s="1" t="n">
        <v>43754</v>
      </c>
      <c r="C84" s="1" t="n">
        <v>45667</v>
      </c>
      <c r="D84" t="inlineStr">
        <is>
          <t>VÄSTRA GÖTALANDS LÄN</t>
        </is>
      </c>
      <c r="E84" t="inlineStr">
        <is>
          <t>TANUM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56086-2019</t>
        </is>
      </c>
      <c r="B85" s="1" t="n">
        <v>43755</v>
      </c>
      <c r="C85" s="1" t="n">
        <v>45667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56602-2019</t>
        </is>
      </c>
      <c r="B86" s="1" t="n">
        <v>43757</v>
      </c>
      <c r="C86" s="1" t="n">
        <v>45667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63716-2019</t>
        </is>
      </c>
      <c r="B87" s="1" t="n">
        <v>43788</v>
      </c>
      <c r="C87" s="1" t="n">
        <v>45667</v>
      </c>
      <c r="D87" t="inlineStr">
        <is>
          <t>VÄSTRA GÖTALANDS LÄN</t>
        </is>
      </c>
      <c r="E87" t="inlineStr">
        <is>
          <t>TANUM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64507-2019</t>
        </is>
      </c>
      <c r="B88" s="1" t="n">
        <v>43793</v>
      </c>
      <c r="C88" s="1" t="n">
        <v>45667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64602-2019</t>
        </is>
      </c>
      <c r="B89" s="1" t="n">
        <v>43794</v>
      </c>
      <c r="C89" s="1" t="n">
        <v>45667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63599-2019</t>
        </is>
      </c>
      <c r="B90" s="1" t="n">
        <v>43795</v>
      </c>
      <c r="C90" s="1" t="n">
        <v>45667</v>
      </c>
      <c r="D90" t="inlineStr">
        <is>
          <t>VÄSTRA GÖTALANDS LÄN</t>
        </is>
      </c>
      <c r="E90" t="inlineStr">
        <is>
          <t>TANUM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64924-2019</t>
        </is>
      </c>
      <c r="B91" s="1" t="n">
        <v>43795</v>
      </c>
      <c r="C91" s="1" t="n">
        <v>45667</v>
      </c>
      <c r="D91" t="inlineStr">
        <is>
          <t>VÄSTRA GÖTALANDS LÄN</t>
        </is>
      </c>
      <c r="E91" t="inlineStr">
        <is>
          <t>TANUM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64921-2019</t>
        </is>
      </c>
      <c r="B92" s="1" t="n">
        <v>43795</v>
      </c>
      <c r="C92" s="1" t="n">
        <v>45667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66036-2019</t>
        </is>
      </c>
      <c r="B93" s="1" t="n">
        <v>43805</v>
      </c>
      <c r="C93" s="1" t="n">
        <v>45667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66692-2019</t>
        </is>
      </c>
      <c r="B94" s="1" t="n">
        <v>43809</v>
      </c>
      <c r="C94" s="1" t="n">
        <v>45667</v>
      </c>
      <c r="D94" t="inlineStr">
        <is>
          <t>VÄSTRA GÖTALANDS LÄN</t>
        </is>
      </c>
      <c r="E94" t="inlineStr">
        <is>
          <t>TANUM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66978-2019</t>
        </is>
      </c>
      <c r="B95" s="1" t="n">
        <v>43811</v>
      </c>
      <c r="C95" s="1" t="n">
        <v>45667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68004-2019</t>
        </is>
      </c>
      <c r="B96" s="1" t="n">
        <v>43811</v>
      </c>
      <c r="C96" s="1" t="n">
        <v>45667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68007-2019</t>
        </is>
      </c>
      <c r="B97" s="1" t="n">
        <v>43811</v>
      </c>
      <c r="C97" s="1" t="n">
        <v>45667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67282-2019</t>
        </is>
      </c>
      <c r="B98" s="1" t="n">
        <v>43812</v>
      </c>
      <c r="C98" s="1" t="n">
        <v>45667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68762-2019</t>
        </is>
      </c>
      <c r="B99" s="1" t="n">
        <v>43812</v>
      </c>
      <c r="C99" s="1" t="n">
        <v>45667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68753-2019</t>
        </is>
      </c>
      <c r="B100" s="1" t="n">
        <v>43812</v>
      </c>
      <c r="C100" s="1" t="n">
        <v>45667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1025-2020</t>
        </is>
      </c>
      <c r="B101" s="1" t="n">
        <v>43819</v>
      </c>
      <c r="C101" s="1" t="n">
        <v>45667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149-2020</t>
        </is>
      </c>
      <c r="B102" s="1" t="n">
        <v>43833</v>
      </c>
      <c r="C102" s="1" t="n">
        <v>45667</v>
      </c>
      <c r="D102" t="inlineStr">
        <is>
          <t>VÄSTRA GÖTALANDS LÄN</t>
        </is>
      </c>
      <c r="E102" t="inlineStr">
        <is>
          <t>TANUM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282-2020</t>
        </is>
      </c>
      <c r="B103" s="1" t="n">
        <v>43837</v>
      </c>
      <c r="C103" s="1" t="n">
        <v>45667</v>
      </c>
      <c r="D103" t="inlineStr">
        <is>
          <t>VÄSTRA GÖTALANDS LÄN</t>
        </is>
      </c>
      <c r="E103" t="inlineStr">
        <is>
          <t>TANUM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1785-2020</t>
        </is>
      </c>
      <c r="B104" s="1" t="n">
        <v>43844</v>
      </c>
      <c r="C104" s="1" t="n">
        <v>45667</v>
      </c>
      <c r="D104" t="inlineStr">
        <is>
          <t>VÄSTRA GÖTALANDS LÄN</t>
        </is>
      </c>
      <c r="E104" t="inlineStr">
        <is>
          <t>TANUM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3906-2020</t>
        </is>
      </c>
      <c r="B105" s="1" t="n">
        <v>43854</v>
      </c>
      <c r="C105" s="1" t="n">
        <v>45667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4166-2020</t>
        </is>
      </c>
      <c r="B106" s="1" t="n">
        <v>43857</v>
      </c>
      <c r="C106" s="1" t="n">
        <v>45667</v>
      </c>
      <c r="D106" t="inlineStr">
        <is>
          <t>VÄSTRA GÖTALANDS LÄN</t>
        </is>
      </c>
      <c r="E106" t="inlineStr">
        <is>
          <t>TANUM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6155-2020</t>
        </is>
      </c>
      <c r="B107" s="1" t="n">
        <v>43865</v>
      </c>
      <c r="C107" s="1" t="n">
        <v>45667</v>
      </c>
      <c r="D107" t="inlineStr">
        <is>
          <t>VÄSTRA GÖTALANDS LÄN</t>
        </is>
      </c>
      <c r="E107" t="inlineStr">
        <is>
          <t>TANUM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6172-2020</t>
        </is>
      </c>
      <c r="B108" s="1" t="n">
        <v>43865</v>
      </c>
      <c r="C108" s="1" t="n">
        <v>45667</v>
      </c>
      <c r="D108" t="inlineStr">
        <is>
          <t>VÄSTRA GÖTALANDS LÄN</t>
        </is>
      </c>
      <c r="E108" t="inlineStr">
        <is>
          <t>TANUM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7073-2020</t>
        </is>
      </c>
      <c r="B109" s="1" t="n">
        <v>43868</v>
      </c>
      <c r="C109" s="1" t="n">
        <v>45667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11840-2020</t>
        </is>
      </c>
      <c r="B110" s="1" t="n">
        <v>43887</v>
      </c>
      <c r="C110" s="1" t="n">
        <v>45667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11853-2020</t>
        </is>
      </c>
      <c r="B111" s="1" t="n">
        <v>43887</v>
      </c>
      <c r="C111" s="1" t="n">
        <v>45667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11846-2020</t>
        </is>
      </c>
      <c r="B112" s="1" t="n">
        <v>43887</v>
      </c>
      <c r="C112" s="1" t="n">
        <v>45667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11857-2020</t>
        </is>
      </c>
      <c r="B113" s="1" t="n">
        <v>43887</v>
      </c>
      <c r="C113" s="1" t="n">
        <v>45667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11109-2020</t>
        </is>
      </c>
      <c r="B114" s="1" t="n">
        <v>43889</v>
      </c>
      <c r="C114" s="1" t="n">
        <v>45667</v>
      </c>
      <c r="D114" t="inlineStr">
        <is>
          <t>VÄSTRA GÖTALANDS LÄN</t>
        </is>
      </c>
      <c r="E114" t="inlineStr">
        <is>
          <t>TANUM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11156-2020</t>
        </is>
      </c>
      <c r="B115" s="1" t="n">
        <v>43891</v>
      </c>
      <c r="C115" s="1" t="n">
        <v>45667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12810-2020</t>
        </is>
      </c>
      <c r="B116" s="1" t="n">
        <v>43893</v>
      </c>
      <c r="C116" s="1" t="n">
        <v>45667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14486-2020</t>
        </is>
      </c>
      <c r="B117" s="1" t="n">
        <v>43900</v>
      </c>
      <c r="C117" s="1" t="n">
        <v>45667</v>
      </c>
      <c r="D117" t="inlineStr">
        <is>
          <t>VÄSTRA GÖTALANDS LÄN</t>
        </is>
      </c>
      <c r="E117" t="inlineStr">
        <is>
          <t>TANUM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14489-2020</t>
        </is>
      </c>
      <c r="B118" s="1" t="n">
        <v>43900</v>
      </c>
      <c r="C118" s="1" t="n">
        <v>45667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14123-2020</t>
        </is>
      </c>
      <c r="B119" s="1" t="n">
        <v>43900</v>
      </c>
      <c r="C119" s="1" t="n">
        <v>45667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13641-2020</t>
        </is>
      </c>
      <c r="B120" s="1" t="n">
        <v>43903</v>
      </c>
      <c r="C120" s="1" t="n">
        <v>45667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14703-2020</t>
        </is>
      </c>
      <c r="B121" s="1" t="n">
        <v>43909</v>
      </c>
      <c r="C121" s="1" t="n">
        <v>45667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16794-2020</t>
        </is>
      </c>
      <c r="B122" s="1" t="n">
        <v>43913</v>
      </c>
      <c r="C122" s="1" t="n">
        <v>45667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16442-2020</t>
        </is>
      </c>
      <c r="B123" s="1" t="n">
        <v>43914</v>
      </c>
      <c r="C123" s="1" t="n">
        <v>45667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15834-2020</t>
        </is>
      </c>
      <c r="B124" s="1" t="n">
        <v>43915</v>
      </c>
      <c r="C124" s="1" t="n">
        <v>45667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17874-2020</t>
        </is>
      </c>
      <c r="B125" s="1" t="n">
        <v>43923</v>
      </c>
      <c r="C125" s="1" t="n">
        <v>45667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17843-2020</t>
        </is>
      </c>
      <c r="B126" s="1" t="n">
        <v>43924</v>
      </c>
      <c r="C126" s="1" t="n">
        <v>45667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20448-2020</t>
        </is>
      </c>
      <c r="B127" s="1" t="n">
        <v>43945</v>
      </c>
      <c r="C127" s="1" t="n">
        <v>45667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24807-2020</t>
        </is>
      </c>
      <c r="B128" s="1" t="n">
        <v>43978</v>
      </c>
      <c r="C128" s="1" t="n">
        <v>45667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24815-2020</t>
        </is>
      </c>
      <c r="B129" s="1" t="n">
        <v>43978</v>
      </c>
      <c r="C129" s="1" t="n">
        <v>45667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24816-2020</t>
        </is>
      </c>
      <c r="B130" s="1" t="n">
        <v>43978</v>
      </c>
      <c r="C130" s="1" t="n">
        <v>45667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25574-2020</t>
        </is>
      </c>
      <c r="B131" s="1" t="n">
        <v>43982</v>
      </c>
      <c r="C131" s="1" t="n">
        <v>45667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25820-2020</t>
        </is>
      </c>
      <c r="B132" s="1" t="n">
        <v>43984</v>
      </c>
      <c r="C132" s="1" t="n">
        <v>45667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29772-2020</t>
        </is>
      </c>
      <c r="B133" s="1" t="n">
        <v>44005</v>
      </c>
      <c r="C133" s="1" t="n">
        <v>45667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29987-2020</t>
        </is>
      </c>
      <c r="B134" s="1" t="n">
        <v>44006</v>
      </c>
      <c r="C134" s="1" t="n">
        <v>45667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30244-2020</t>
        </is>
      </c>
      <c r="B135" s="1" t="n">
        <v>44006</v>
      </c>
      <c r="C135" s="1" t="n">
        <v>45667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31819-2020</t>
        </is>
      </c>
      <c r="B136" s="1" t="n">
        <v>44014</v>
      </c>
      <c r="C136" s="1" t="n">
        <v>45667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32543-2020</t>
        </is>
      </c>
      <c r="B137" s="1" t="n">
        <v>44018</v>
      </c>
      <c r="C137" s="1" t="n">
        <v>45667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32569-2020</t>
        </is>
      </c>
      <c r="B138" s="1" t="n">
        <v>44018</v>
      </c>
      <c r="C138" s="1" t="n">
        <v>45667</v>
      </c>
      <c r="D138" t="inlineStr">
        <is>
          <t>VÄSTRA GÖTALANDS LÄN</t>
        </is>
      </c>
      <c r="E138" t="inlineStr">
        <is>
          <t>TANUM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34123-2020</t>
        </is>
      </c>
      <c r="B139" s="1" t="n">
        <v>44029</v>
      </c>
      <c r="C139" s="1" t="n">
        <v>45667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35779-2020</t>
        </is>
      </c>
      <c r="B140" s="1" t="n">
        <v>44046</v>
      </c>
      <c r="C140" s="1" t="n">
        <v>45667</v>
      </c>
      <c r="D140" t="inlineStr">
        <is>
          <t>VÄSTRA GÖTALANDS LÄN</t>
        </is>
      </c>
      <c r="E140" t="inlineStr">
        <is>
          <t>TANUM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36305-2020</t>
        </is>
      </c>
      <c r="B141" s="1" t="n">
        <v>44049</v>
      </c>
      <c r="C141" s="1" t="n">
        <v>45667</v>
      </c>
      <c r="D141" t="inlineStr">
        <is>
          <t>VÄSTRA GÖTALANDS LÄN</t>
        </is>
      </c>
      <c r="E141" t="inlineStr">
        <is>
          <t>TANUM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45667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38915-2020</t>
        </is>
      </c>
      <c r="B143" s="1" t="n">
        <v>44062</v>
      </c>
      <c r="C143" s="1" t="n">
        <v>45667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41323-2020</t>
        </is>
      </c>
      <c r="B144" s="1" t="n">
        <v>44071</v>
      </c>
      <c r="C144" s="1" t="n">
        <v>45667</v>
      </c>
      <c r="D144" t="inlineStr">
        <is>
          <t>VÄSTRA GÖTALANDS LÄN</t>
        </is>
      </c>
      <c r="E144" t="inlineStr">
        <is>
          <t>TANUM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41253-2020</t>
        </is>
      </c>
      <c r="B145" s="1" t="n">
        <v>44071</v>
      </c>
      <c r="C145" s="1" t="n">
        <v>45667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41753-2020</t>
        </is>
      </c>
      <c r="B146" s="1" t="n">
        <v>44074</v>
      </c>
      <c r="C146" s="1" t="n">
        <v>45667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43345-2020</t>
        </is>
      </c>
      <c r="B147" s="1" t="n">
        <v>44076</v>
      </c>
      <c r="C147" s="1" t="n">
        <v>45667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42848-2020</t>
        </is>
      </c>
      <c r="B148" s="1" t="n">
        <v>44078</v>
      </c>
      <c r="C148" s="1" t="n">
        <v>45667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42869-2020</t>
        </is>
      </c>
      <c r="B149" s="1" t="n">
        <v>44078</v>
      </c>
      <c r="C149" s="1" t="n">
        <v>45667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42867-2020</t>
        </is>
      </c>
      <c r="B150" s="1" t="n">
        <v>44078</v>
      </c>
      <c r="C150" s="1" t="n">
        <v>45667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47088-2020</t>
        </is>
      </c>
      <c r="B151" s="1" t="n">
        <v>44096</v>
      </c>
      <c r="C151" s="1" t="n">
        <v>45667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47480-2020</t>
        </is>
      </c>
      <c r="B152" s="1" t="n">
        <v>44098</v>
      </c>
      <c r="C152" s="1" t="n">
        <v>45667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48102-2020</t>
        </is>
      </c>
      <c r="B153" s="1" t="n">
        <v>44101</v>
      </c>
      <c r="C153" s="1" t="n">
        <v>45667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48791-2020</t>
        </is>
      </c>
      <c r="B154" s="1" t="n">
        <v>44103</v>
      </c>
      <c r="C154" s="1" t="n">
        <v>45667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48815-2020</t>
        </is>
      </c>
      <c r="B155" s="1" t="n">
        <v>44103</v>
      </c>
      <c r="C155" s="1" t="n">
        <v>45667</v>
      </c>
      <c r="D155" t="inlineStr">
        <is>
          <t>VÄSTRA GÖTALANDS LÄN</t>
        </is>
      </c>
      <c r="E155" t="inlineStr">
        <is>
          <t>TANUM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49079-2020</t>
        </is>
      </c>
      <c r="B156" s="1" t="n">
        <v>44104</v>
      </c>
      <c r="C156" s="1" t="n">
        <v>45667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49146-2020</t>
        </is>
      </c>
      <c r="B157" s="1" t="n">
        <v>44104</v>
      </c>
      <c r="C157" s="1" t="n">
        <v>45667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51078-2020</t>
        </is>
      </c>
      <c r="B158" s="1" t="n">
        <v>44106</v>
      </c>
      <c r="C158" s="1" t="n">
        <v>45667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52484-2020</t>
        </is>
      </c>
      <c r="B159" s="1" t="n">
        <v>44118</v>
      </c>
      <c r="C159" s="1" t="n">
        <v>45667</v>
      </c>
      <c r="D159" t="inlineStr">
        <is>
          <t>VÄSTRA GÖTALANDS LÄN</t>
        </is>
      </c>
      <c r="E159" t="inlineStr">
        <is>
          <t>TANUM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53164-2020</t>
        </is>
      </c>
      <c r="B160" s="1" t="n">
        <v>44120</v>
      </c>
      <c r="C160" s="1" t="n">
        <v>45667</v>
      </c>
      <c r="D160" t="inlineStr">
        <is>
          <t>VÄSTRA GÖTALANDS LÄN</t>
        </is>
      </c>
      <c r="E160" t="inlineStr">
        <is>
          <t>TANUM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53997-2020</t>
        </is>
      </c>
      <c r="B161" s="1" t="n">
        <v>44125</v>
      </c>
      <c r="C161" s="1" t="n">
        <v>45667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54935-2020</t>
        </is>
      </c>
      <c r="B162" s="1" t="n">
        <v>44127</v>
      </c>
      <c r="C162" s="1" t="n">
        <v>45667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55417-2020</t>
        </is>
      </c>
      <c r="B163" s="1" t="n">
        <v>44131</v>
      </c>
      <c r="C163" s="1" t="n">
        <v>45667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55596-2020</t>
        </is>
      </c>
      <c r="B164" s="1" t="n">
        <v>44131</v>
      </c>
      <c r="C164" s="1" t="n">
        <v>45667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56006-2020</t>
        </is>
      </c>
      <c r="B165" s="1" t="n">
        <v>44131</v>
      </c>
      <c r="C165" s="1" t="n">
        <v>45667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56004-2020</t>
        </is>
      </c>
      <c r="B166" s="1" t="n">
        <v>44131</v>
      </c>
      <c r="C166" s="1" t="n">
        <v>45667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56433-2020</t>
        </is>
      </c>
      <c r="B167" s="1" t="n">
        <v>44137</v>
      </c>
      <c r="C167" s="1" t="n">
        <v>45667</v>
      </c>
      <c r="D167" t="inlineStr">
        <is>
          <t>VÄSTRA GÖTALANDS LÄN</t>
        </is>
      </c>
      <c r="E167" t="inlineStr">
        <is>
          <t>TANUM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56550-2020</t>
        </is>
      </c>
      <c r="B168" s="1" t="n">
        <v>44137</v>
      </c>
      <c r="C168" s="1" t="n">
        <v>45667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57810-2020</t>
        </is>
      </c>
      <c r="B169" s="1" t="n">
        <v>44141</v>
      </c>
      <c r="C169" s="1" t="n">
        <v>45667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57982-2020</t>
        </is>
      </c>
      <c r="B170" s="1" t="n">
        <v>44143</v>
      </c>
      <c r="C170" s="1" t="n">
        <v>45667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60280-2020</t>
        </is>
      </c>
      <c r="B171" s="1" t="n">
        <v>44151</v>
      </c>
      <c r="C171" s="1" t="n">
        <v>45667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60283-2020</t>
        </is>
      </c>
      <c r="B172" s="1" t="n">
        <v>44151</v>
      </c>
      <c r="C172" s="1" t="n">
        <v>45667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62039-2020</t>
        </is>
      </c>
      <c r="B173" s="1" t="n">
        <v>44159</v>
      </c>
      <c r="C173" s="1" t="n">
        <v>45667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62683-2020</t>
        </is>
      </c>
      <c r="B174" s="1" t="n">
        <v>44161</v>
      </c>
      <c r="C174" s="1" t="n">
        <v>45667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64980-2020</t>
        </is>
      </c>
      <c r="B175" s="1" t="n">
        <v>44172</v>
      </c>
      <c r="C175" s="1" t="n">
        <v>45667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66588-2020</t>
        </is>
      </c>
      <c r="B176" s="1" t="n">
        <v>44179</v>
      </c>
      <c r="C176" s="1" t="n">
        <v>45667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66624-2020</t>
        </is>
      </c>
      <c r="B177" s="1" t="n">
        <v>44179</v>
      </c>
      <c r="C177" s="1" t="n">
        <v>45667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66633-2020</t>
        </is>
      </c>
      <c r="B178" s="1" t="n">
        <v>44179</v>
      </c>
      <c r="C178" s="1" t="n">
        <v>45667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66638-2020</t>
        </is>
      </c>
      <c r="B179" s="1" t="n">
        <v>44179</v>
      </c>
      <c r="C179" s="1" t="n">
        <v>45667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415-2021</t>
        </is>
      </c>
      <c r="B180" s="1" t="n">
        <v>44201</v>
      </c>
      <c r="C180" s="1" t="n">
        <v>45667</v>
      </c>
      <c r="D180" t="inlineStr">
        <is>
          <t>VÄSTRA GÖTALANDS LÄN</t>
        </is>
      </c>
      <c r="E180" t="inlineStr">
        <is>
          <t>TANUM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418-2021</t>
        </is>
      </c>
      <c r="B181" s="1" t="n">
        <v>44201</v>
      </c>
      <c r="C181" s="1" t="n">
        <v>45667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567-2021</t>
        </is>
      </c>
      <c r="B182" s="1" t="n">
        <v>44203</v>
      </c>
      <c r="C182" s="1" t="n">
        <v>45667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1251-2021</t>
        </is>
      </c>
      <c r="B183" s="1" t="n">
        <v>44207</v>
      </c>
      <c r="C183" s="1" t="n">
        <v>45667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1777-2021</t>
        </is>
      </c>
      <c r="B184" s="1" t="n">
        <v>44209</v>
      </c>
      <c r="C184" s="1" t="n">
        <v>45667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2124-2021</t>
        </is>
      </c>
      <c r="B185" s="1" t="n">
        <v>44210</v>
      </c>
      <c r="C185" s="1" t="n">
        <v>45667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2959-2021</t>
        </is>
      </c>
      <c r="B186" s="1" t="n">
        <v>44216</v>
      </c>
      <c r="C186" s="1" t="n">
        <v>45667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3789-2021</t>
        </is>
      </c>
      <c r="B187" s="1" t="n">
        <v>44221</v>
      </c>
      <c r="C187" s="1" t="n">
        <v>45667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5415-2021</t>
        </is>
      </c>
      <c r="B188" s="1" t="n">
        <v>44228</v>
      </c>
      <c r="C188" s="1" t="n">
        <v>45667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5390-2021</t>
        </is>
      </c>
      <c r="B189" s="1" t="n">
        <v>44229</v>
      </c>
      <c r="C189" s="1" t="n">
        <v>45667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5715-2021</t>
        </is>
      </c>
      <c r="B190" s="1" t="n">
        <v>44229</v>
      </c>
      <c r="C190" s="1" t="n">
        <v>45667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6043-2021</t>
        </is>
      </c>
      <c r="B191" s="1" t="n">
        <v>44232</v>
      </c>
      <c r="C191" s="1" t="n">
        <v>45667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7590-2021</t>
        </is>
      </c>
      <c r="B192" s="1" t="n">
        <v>44241</v>
      </c>
      <c r="C192" s="1" t="n">
        <v>45667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7748-2021</t>
        </is>
      </c>
      <c r="B193" s="1" t="n">
        <v>44242</v>
      </c>
      <c r="C193" s="1" t="n">
        <v>45667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8988-2021</t>
        </is>
      </c>
      <c r="B194" s="1" t="n">
        <v>44249</v>
      </c>
      <c r="C194" s="1" t="n">
        <v>45667</v>
      </c>
      <c r="D194" t="inlineStr">
        <is>
          <t>VÄSTRA GÖTALANDS LÄN</t>
        </is>
      </c>
      <c r="E194" t="inlineStr">
        <is>
          <t>TANUM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9361-2021</t>
        </is>
      </c>
      <c r="B195" s="1" t="n">
        <v>44250</v>
      </c>
      <c r="C195" s="1" t="n">
        <v>45667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9362-2021</t>
        </is>
      </c>
      <c r="B196" s="1" t="n">
        <v>44250</v>
      </c>
      <c r="C196" s="1" t="n">
        <v>45667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12745-2021</t>
        </is>
      </c>
      <c r="B197" s="1" t="n">
        <v>44270</v>
      </c>
      <c r="C197" s="1" t="n">
        <v>45667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12752-2021</t>
        </is>
      </c>
      <c r="B198" s="1" t="n">
        <v>44270</v>
      </c>
      <c r="C198" s="1" t="n">
        <v>45667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14007-2021</t>
        </is>
      </c>
      <c r="B199" s="1" t="n">
        <v>44277</v>
      </c>
      <c r="C199" s="1" t="n">
        <v>45667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15450-2021</t>
        </is>
      </c>
      <c r="B200" s="1" t="n">
        <v>44285</v>
      </c>
      <c r="C200" s="1" t="n">
        <v>45667</v>
      </c>
      <c r="D200" t="inlineStr">
        <is>
          <t>VÄSTRA GÖTALANDS LÄN</t>
        </is>
      </c>
      <c r="E200" t="inlineStr">
        <is>
          <t>TANUM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15490-2021</t>
        </is>
      </c>
      <c r="B201" s="1" t="n">
        <v>44285</v>
      </c>
      <c r="C201" s="1" t="n">
        <v>45667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15424-2021</t>
        </is>
      </c>
      <c r="B202" s="1" t="n">
        <v>44285</v>
      </c>
      <c r="C202" s="1" t="n">
        <v>45667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15458-2021</t>
        </is>
      </c>
      <c r="B203" s="1" t="n">
        <v>44285</v>
      </c>
      <c r="C203" s="1" t="n">
        <v>45667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15489-2021</t>
        </is>
      </c>
      <c r="B204" s="1" t="n">
        <v>44285</v>
      </c>
      <c r="C204" s="1" t="n">
        <v>45667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15484-2021</t>
        </is>
      </c>
      <c r="B205" s="1" t="n">
        <v>44285</v>
      </c>
      <c r="C205" s="1" t="n">
        <v>45667</v>
      </c>
      <c r="D205" t="inlineStr">
        <is>
          <t>VÄSTRA GÖTALANDS LÄN</t>
        </is>
      </c>
      <c r="E205" t="inlineStr">
        <is>
          <t>TANUM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16198-2021</t>
        </is>
      </c>
      <c r="B206" s="1" t="n">
        <v>44292</v>
      </c>
      <c r="C206" s="1" t="n">
        <v>45667</v>
      </c>
      <c r="D206" t="inlineStr">
        <is>
          <t>VÄSTRA GÖTALANDS LÄN</t>
        </is>
      </c>
      <c r="E206" t="inlineStr">
        <is>
          <t>TANUM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16193-2021</t>
        </is>
      </c>
      <c r="B207" s="1" t="n">
        <v>44292</v>
      </c>
      <c r="C207" s="1" t="n">
        <v>45667</v>
      </c>
      <c r="D207" t="inlineStr">
        <is>
          <t>VÄSTRA GÖTALANDS LÄN</t>
        </is>
      </c>
      <c r="E207" t="inlineStr">
        <is>
          <t>TANUM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16472-2021</t>
        </is>
      </c>
      <c r="B208" s="1" t="n">
        <v>44293</v>
      </c>
      <c r="C208" s="1" t="n">
        <v>45667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16479-2021</t>
        </is>
      </c>
      <c r="B209" s="1" t="n">
        <v>44293</v>
      </c>
      <c r="C209" s="1" t="n">
        <v>45667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16857-2021</t>
        </is>
      </c>
      <c r="B210" s="1" t="n">
        <v>44295</v>
      </c>
      <c r="C210" s="1" t="n">
        <v>45667</v>
      </c>
      <c r="D210" t="inlineStr">
        <is>
          <t>VÄSTRA GÖTALANDS LÄN</t>
        </is>
      </c>
      <c r="E210" t="inlineStr">
        <is>
          <t>TANUM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18559-2021</t>
        </is>
      </c>
      <c r="B211" s="1" t="n">
        <v>44306</v>
      </c>
      <c r="C211" s="1" t="n">
        <v>45667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18557-2021</t>
        </is>
      </c>
      <c r="B212" s="1" t="n">
        <v>44306</v>
      </c>
      <c r="C212" s="1" t="n">
        <v>45667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20037-2021</t>
        </is>
      </c>
      <c r="B213" s="1" t="n">
        <v>44313</v>
      </c>
      <c r="C213" s="1" t="n">
        <v>45667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20048-2021</t>
        </is>
      </c>
      <c r="B214" s="1" t="n">
        <v>44313</v>
      </c>
      <c r="C214" s="1" t="n">
        <v>45667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20195-2021</t>
        </is>
      </c>
      <c r="B215" s="1" t="n">
        <v>44314</v>
      </c>
      <c r="C215" s="1" t="n">
        <v>45667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21430-2021</t>
        </is>
      </c>
      <c r="B216" s="1" t="n">
        <v>44316</v>
      </c>
      <c r="C216" s="1" t="n">
        <v>45667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20978-2021</t>
        </is>
      </c>
      <c r="B217" s="1" t="n">
        <v>44318</v>
      </c>
      <c r="C217" s="1" t="n">
        <v>45667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20993-2021</t>
        </is>
      </c>
      <c r="B218" s="1" t="n">
        <v>44318</v>
      </c>
      <c r="C218" s="1" t="n">
        <v>45667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20982-2021</t>
        </is>
      </c>
      <c r="B219" s="1" t="n">
        <v>44318</v>
      </c>
      <c r="C219" s="1" t="n">
        <v>45667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21112-2021</t>
        </is>
      </c>
      <c r="B220" s="1" t="n">
        <v>44319</v>
      </c>
      <c r="C220" s="1" t="n">
        <v>45667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21587-2021</t>
        </is>
      </c>
      <c r="B221" s="1" t="n">
        <v>44321</v>
      </c>
      <c r="C221" s="1" t="n">
        <v>45667</v>
      </c>
      <c r="D221" t="inlineStr">
        <is>
          <t>VÄSTRA GÖTALANDS LÄN</t>
        </is>
      </c>
      <c r="E221" t="inlineStr">
        <is>
          <t>TANUM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22766-2021</t>
        </is>
      </c>
      <c r="B222" s="1" t="n">
        <v>44327</v>
      </c>
      <c r="C222" s="1" t="n">
        <v>45667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22764-2021</t>
        </is>
      </c>
      <c r="B223" s="1" t="n">
        <v>44327</v>
      </c>
      <c r="C223" s="1" t="n">
        <v>45667</v>
      </c>
      <c r="D223" t="inlineStr">
        <is>
          <t>VÄSTRA GÖTALANDS LÄN</t>
        </is>
      </c>
      <c r="E223" t="inlineStr">
        <is>
          <t>TANUM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22769-2021</t>
        </is>
      </c>
      <c r="B224" s="1" t="n">
        <v>44327</v>
      </c>
      <c r="C224" s="1" t="n">
        <v>45667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22771-2021</t>
        </is>
      </c>
      <c r="B225" s="1" t="n">
        <v>44327</v>
      </c>
      <c r="C225" s="1" t="n">
        <v>45667</v>
      </c>
      <c r="D225" t="inlineStr">
        <is>
          <t>VÄSTRA GÖTALANDS LÄN</t>
        </is>
      </c>
      <c r="E225" t="inlineStr">
        <is>
          <t>TANUM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22770-2021</t>
        </is>
      </c>
      <c r="B226" s="1" t="n">
        <v>44327</v>
      </c>
      <c r="C226" s="1" t="n">
        <v>45667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22905-2021</t>
        </is>
      </c>
      <c r="B227" s="1" t="n">
        <v>44328</v>
      </c>
      <c r="C227" s="1" t="n">
        <v>45667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22912-2021</t>
        </is>
      </c>
      <c r="B228" s="1" t="n">
        <v>44328</v>
      </c>
      <c r="C228" s="1" t="n">
        <v>45667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23443-2021</t>
        </is>
      </c>
      <c r="B229" s="1" t="n">
        <v>44333</v>
      </c>
      <c r="C229" s="1" t="n">
        <v>45667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25975-2021</t>
        </is>
      </c>
      <c r="B230" s="1" t="n">
        <v>44344</v>
      </c>
      <c r="C230" s="1" t="n">
        <v>45667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26070-2021</t>
        </is>
      </c>
      <c r="B231" s="1" t="n">
        <v>44344</v>
      </c>
      <c r="C231" s="1" t="n">
        <v>45667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27994-2021</t>
        </is>
      </c>
      <c r="B232" s="1" t="n">
        <v>44355</v>
      </c>
      <c r="C232" s="1" t="n">
        <v>45667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28357-2021</t>
        </is>
      </c>
      <c r="B233" s="1" t="n">
        <v>44356</v>
      </c>
      <c r="C233" s="1" t="n">
        <v>45667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29334-2021</t>
        </is>
      </c>
      <c r="B234" s="1" t="n">
        <v>44361</v>
      </c>
      <c r="C234" s="1" t="n">
        <v>45667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29504-2021</t>
        </is>
      </c>
      <c r="B235" s="1" t="n">
        <v>44361</v>
      </c>
      <c r="C235" s="1" t="n">
        <v>45667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29499-2021</t>
        </is>
      </c>
      <c r="B236" s="1" t="n">
        <v>44361</v>
      </c>
      <c r="C236" s="1" t="n">
        <v>45667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31778-2021</t>
        </is>
      </c>
      <c r="B237" s="1" t="n">
        <v>44369</v>
      </c>
      <c r="C237" s="1" t="n">
        <v>45667</v>
      </c>
      <c r="D237" t="inlineStr">
        <is>
          <t>VÄSTRA GÖTALANDS LÄN</t>
        </is>
      </c>
      <c r="E237" t="inlineStr">
        <is>
          <t>TANUM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32067-2021</t>
        </is>
      </c>
      <c r="B238" s="1" t="n">
        <v>44370</v>
      </c>
      <c r="C238" s="1" t="n">
        <v>45667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33326-2021</t>
        </is>
      </c>
      <c r="B239" s="1" t="n">
        <v>44377</v>
      </c>
      <c r="C239" s="1" t="n">
        <v>45667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33258-2021</t>
        </is>
      </c>
      <c r="B240" s="1" t="n">
        <v>44377</v>
      </c>
      <c r="C240" s="1" t="n">
        <v>45667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33259-2021</t>
        </is>
      </c>
      <c r="B241" s="1" t="n">
        <v>44377</v>
      </c>
      <c r="C241" s="1" t="n">
        <v>45667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33315-2021</t>
        </is>
      </c>
      <c r="B242" s="1" t="n">
        <v>44377</v>
      </c>
      <c r="C242" s="1" t="n">
        <v>45667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33931-2021</t>
        </is>
      </c>
      <c r="B243" s="1" t="n">
        <v>44378</v>
      </c>
      <c r="C243" s="1" t="n">
        <v>45667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33923-2021</t>
        </is>
      </c>
      <c r="B244" s="1" t="n">
        <v>44378</v>
      </c>
      <c r="C244" s="1" t="n">
        <v>45667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33925-2021</t>
        </is>
      </c>
      <c r="B245" s="1" t="n">
        <v>44378</v>
      </c>
      <c r="C245" s="1" t="n">
        <v>45667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34759-2021</t>
        </is>
      </c>
      <c r="B246" s="1" t="n">
        <v>44382</v>
      </c>
      <c r="C246" s="1" t="n">
        <v>45667</v>
      </c>
      <c r="D246" t="inlineStr">
        <is>
          <t>VÄSTRA GÖTALANDS LÄN</t>
        </is>
      </c>
      <c r="E246" t="inlineStr">
        <is>
          <t>TANUM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35622-2021</t>
        </is>
      </c>
      <c r="B247" s="1" t="n">
        <v>44386</v>
      </c>
      <c r="C247" s="1" t="n">
        <v>45667</v>
      </c>
      <c r="D247" t="inlineStr">
        <is>
          <t>VÄSTRA GÖTALANDS LÄN</t>
        </is>
      </c>
      <c r="E247" t="inlineStr">
        <is>
          <t>TANUM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35968-2021</t>
        </is>
      </c>
      <c r="B248" s="1" t="n">
        <v>44389</v>
      </c>
      <c r="C248" s="1" t="n">
        <v>45667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35987-2021</t>
        </is>
      </c>
      <c r="B249" s="1" t="n">
        <v>44389</v>
      </c>
      <c r="C249" s="1" t="n">
        <v>45667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36511-2021</t>
        </is>
      </c>
      <c r="B250" s="1" t="n">
        <v>44391</v>
      </c>
      <c r="C250" s="1" t="n">
        <v>45667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36791-2021</t>
        </is>
      </c>
      <c r="B251" s="1" t="n">
        <v>44392</v>
      </c>
      <c r="C251" s="1" t="n">
        <v>45667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36789-2021</t>
        </is>
      </c>
      <c r="B252" s="1" t="n">
        <v>44392</v>
      </c>
      <c r="C252" s="1" t="n">
        <v>45667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37137-2021</t>
        </is>
      </c>
      <c r="B253" s="1" t="n">
        <v>44395</v>
      </c>
      <c r="C253" s="1" t="n">
        <v>45667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37130-2021</t>
        </is>
      </c>
      <c r="B254" s="1" t="n">
        <v>44395</v>
      </c>
      <c r="C254" s="1" t="n">
        <v>45667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37542-2021</t>
        </is>
      </c>
      <c r="B255" s="1" t="n">
        <v>44399</v>
      </c>
      <c r="C255" s="1" t="n">
        <v>45667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37721-2021</t>
        </is>
      </c>
      <c r="B256" s="1" t="n">
        <v>44400</v>
      </c>
      <c r="C256" s="1" t="n">
        <v>45667</v>
      </c>
      <c r="D256" t="inlineStr">
        <is>
          <t>VÄSTRA GÖTALANDS LÄN</t>
        </is>
      </c>
      <c r="E256" t="inlineStr">
        <is>
          <t>TANUM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37744-2021</t>
        </is>
      </c>
      <c r="B257" s="1" t="n">
        <v>44400</v>
      </c>
      <c r="C257" s="1" t="n">
        <v>45667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39959-2021</t>
        </is>
      </c>
      <c r="B258" s="1" t="n">
        <v>44417</v>
      </c>
      <c r="C258" s="1" t="n">
        <v>45667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39962-2021</t>
        </is>
      </c>
      <c r="B259" s="1" t="n">
        <v>44417</v>
      </c>
      <c r="C259" s="1" t="n">
        <v>45667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40145-2021</t>
        </is>
      </c>
      <c r="B260" s="1" t="n">
        <v>44418</v>
      </c>
      <c r="C260" s="1" t="n">
        <v>45667</v>
      </c>
      <c r="D260" t="inlineStr">
        <is>
          <t>VÄSTRA GÖTALANDS LÄN</t>
        </is>
      </c>
      <c r="E260" t="inlineStr">
        <is>
          <t>TANUM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42080-2021</t>
        </is>
      </c>
      <c r="B261" s="1" t="n">
        <v>44426</v>
      </c>
      <c r="C261" s="1" t="n">
        <v>45667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42097-2021</t>
        </is>
      </c>
      <c r="B262" s="1" t="n">
        <v>44426</v>
      </c>
      <c r="C262" s="1" t="n">
        <v>45667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43685-2021</t>
        </is>
      </c>
      <c r="B263" s="1" t="n">
        <v>44433</v>
      </c>
      <c r="C263" s="1" t="n">
        <v>45667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45667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45667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44812-2021</t>
        </is>
      </c>
      <c r="B266" s="1" t="n">
        <v>44438</v>
      </c>
      <c r="C266" s="1" t="n">
        <v>45667</v>
      </c>
      <c r="D266" t="inlineStr">
        <is>
          <t>VÄSTRA GÖTALANDS LÄN</t>
        </is>
      </c>
      <c r="E266" t="inlineStr">
        <is>
          <t>TANUM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44687-2021</t>
        </is>
      </c>
      <c r="B267" s="1" t="n">
        <v>44438</v>
      </c>
      <c r="C267" s="1" t="n">
        <v>45667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44725-2021</t>
        </is>
      </c>
      <c r="B268" s="1" t="n">
        <v>44438</v>
      </c>
      <c r="C268" s="1" t="n">
        <v>45667</v>
      </c>
      <c r="D268" t="inlineStr">
        <is>
          <t>VÄSTRA GÖTALANDS LÄN</t>
        </is>
      </c>
      <c r="E268" t="inlineStr">
        <is>
          <t>TANUM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45068-2021</t>
        </is>
      </c>
      <c r="B269" s="1" t="n">
        <v>44439</v>
      </c>
      <c r="C269" s="1" t="n">
        <v>45667</v>
      </c>
      <c r="D269" t="inlineStr">
        <is>
          <t>VÄSTRA GÖTALANDS LÄN</t>
        </is>
      </c>
      <c r="E269" t="inlineStr">
        <is>
          <t>TANUM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45667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46535-2021</t>
        </is>
      </c>
      <c r="B271" s="1" t="n">
        <v>44445</v>
      </c>
      <c r="C271" s="1" t="n">
        <v>45667</v>
      </c>
      <c r="D271" t="inlineStr">
        <is>
          <t>VÄSTRA GÖTALANDS LÄN</t>
        </is>
      </c>
      <c r="E271" t="inlineStr">
        <is>
          <t>TANUM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47168-2021</t>
        </is>
      </c>
      <c r="B272" s="1" t="n">
        <v>44446</v>
      </c>
      <c r="C272" s="1" t="n">
        <v>45667</v>
      </c>
      <c r="D272" t="inlineStr">
        <is>
          <t>VÄSTRA GÖTALANDS LÄN</t>
        </is>
      </c>
      <c r="E272" t="inlineStr">
        <is>
          <t>TANUM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48713-2021</t>
        </is>
      </c>
      <c r="B273" s="1" t="n">
        <v>44452</v>
      </c>
      <c r="C273" s="1" t="n">
        <v>45667</v>
      </c>
      <c r="D273" t="inlineStr">
        <is>
          <t>VÄSTRA GÖTALANDS LÄN</t>
        </is>
      </c>
      <c r="E273" t="inlineStr">
        <is>
          <t>TANUM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49746-2021</t>
        </is>
      </c>
      <c r="B274" s="1" t="n">
        <v>44455</v>
      </c>
      <c r="C274" s="1" t="n">
        <v>45667</v>
      </c>
      <c r="D274" t="inlineStr">
        <is>
          <t>VÄSTRA GÖTALANDS LÄN</t>
        </is>
      </c>
      <c r="E274" t="inlineStr">
        <is>
          <t>TANUM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50551-2021</t>
        </is>
      </c>
      <c r="B275" s="1" t="n">
        <v>44459</v>
      </c>
      <c r="C275" s="1" t="n">
        <v>45667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45667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51995-2021</t>
        </is>
      </c>
      <c r="B277" s="1" t="n">
        <v>44462</v>
      </c>
      <c r="C277" s="1" t="n">
        <v>45667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52403-2021</t>
        </is>
      </c>
      <c r="B278" s="1" t="n">
        <v>44463</v>
      </c>
      <c r="C278" s="1" t="n">
        <v>45667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</v>
      </c>
      <c r="C279" s="1" t="n">
        <v>45667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53662-2021</t>
        </is>
      </c>
      <c r="B280" s="1" t="n">
        <v>44469</v>
      </c>
      <c r="C280" s="1" t="n">
        <v>45667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45667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54054-2021</t>
        </is>
      </c>
      <c r="B282" s="1" t="n">
        <v>44470</v>
      </c>
      <c r="C282" s="1" t="n">
        <v>45667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54055-2021</t>
        </is>
      </c>
      <c r="B283" s="1" t="n">
        <v>44470</v>
      </c>
      <c r="C283" s="1" t="n">
        <v>45667</v>
      </c>
      <c r="D283" t="inlineStr">
        <is>
          <t>VÄSTRA GÖTALANDS LÄN</t>
        </is>
      </c>
      <c r="E283" t="inlineStr">
        <is>
          <t>TANUM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54195-2021</t>
        </is>
      </c>
      <c r="B284" s="1" t="n">
        <v>44470</v>
      </c>
      <c r="C284" s="1" t="n">
        <v>45667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54197-2021</t>
        </is>
      </c>
      <c r="B285" s="1" t="n">
        <v>44470</v>
      </c>
      <c r="C285" s="1" t="n">
        <v>45667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54474-2021</t>
        </is>
      </c>
      <c r="B286" s="1" t="n">
        <v>44473</v>
      </c>
      <c r="C286" s="1" t="n">
        <v>45667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55172-2021</t>
        </is>
      </c>
      <c r="B287" s="1" t="n">
        <v>44475</v>
      </c>
      <c r="C287" s="1" t="n">
        <v>45667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56778-2021</t>
        </is>
      </c>
      <c r="B288" s="1" t="n">
        <v>44481</v>
      </c>
      <c r="C288" s="1" t="n">
        <v>45667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56957-2021</t>
        </is>
      </c>
      <c r="B289" s="1" t="n">
        <v>44482</v>
      </c>
      <c r="C289" s="1" t="n">
        <v>45667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57178-2021</t>
        </is>
      </c>
      <c r="B290" s="1" t="n">
        <v>44482</v>
      </c>
      <c r="C290" s="1" t="n">
        <v>45667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57175-2021</t>
        </is>
      </c>
      <c r="B291" s="1" t="n">
        <v>44482</v>
      </c>
      <c r="C291" s="1" t="n">
        <v>45667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57846-2021</t>
        </is>
      </c>
      <c r="B292" s="1" t="n">
        <v>44484</v>
      </c>
      <c r="C292" s="1" t="n">
        <v>45667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58061-2021</t>
        </is>
      </c>
      <c r="B293" s="1" t="n">
        <v>44486</v>
      </c>
      <c r="C293" s="1" t="n">
        <v>45667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57999-2021</t>
        </is>
      </c>
      <c r="B294" s="1" t="n">
        <v>44487</v>
      </c>
      <c r="C294" s="1" t="n">
        <v>45667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58335-2021</t>
        </is>
      </c>
      <c r="B295" s="1" t="n">
        <v>44488</v>
      </c>
      <c r="C295" s="1" t="n">
        <v>45667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59135-2021</t>
        </is>
      </c>
      <c r="B296" s="1" t="n">
        <v>44490</v>
      </c>
      <c r="C296" s="1" t="n">
        <v>45667</v>
      </c>
      <c r="D296" t="inlineStr">
        <is>
          <t>VÄSTRA GÖTALANDS LÄN</t>
        </is>
      </c>
      <c r="E296" t="inlineStr">
        <is>
          <t>TANUM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59166-2021</t>
        </is>
      </c>
      <c r="B297" s="1" t="n">
        <v>44490</v>
      </c>
      <c r="C297" s="1" t="n">
        <v>45667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59842-2021</t>
        </is>
      </c>
      <c r="B298" s="1" t="n">
        <v>44494</v>
      </c>
      <c r="C298" s="1" t="n">
        <v>45667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60624-2021</t>
        </is>
      </c>
      <c r="B299" s="1" t="n">
        <v>44496</v>
      </c>
      <c r="C299" s="1" t="n">
        <v>45667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61618-2021</t>
        </is>
      </c>
      <c r="B300" s="1" t="n">
        <v>44501</v>
      </c>
      <c r="C300" s="1" t="n">
        <v>45667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61605-2021</t>
        </is>
      </c>
      <c r="B301" s="1" t="n">
        <v>44501</v>
      </c>
      <c r="C301" s="1" t="n">
        <v>45667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62473-2021</t>
        </is>
      </c>
      <c r="B302" s="1" t="n">
        <v>44503</v>
      </c>
      <c r="C302" s="1" t="n">
        <v>45667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63323-2021</t>
        </is>
      </c>
      <c r="B303" s="1" t="n">
        <v>44506</v>
      </c>
      <c r="C303" s="1" t="n">
        <v>45667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63357-2021</t>
        </is>
      </c>
      <c r="B304" s="1" t="n">
        <v>44506</v>
      </c>
      <c r="C304" s="1" t="n">
        <v>45667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63341-2021</t>
        </is>
      </c>
      <c r="B305" s="1" t="n">
        <v>44506</v>
      </c>
      <c r="C305" s="1" t="n">
        <v>45667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63370-2021</t>
        </is>
      </c>
      <c r="B306" s="1" t="n">
        <v>44506</v>
      </c>
      <c r="C306" s="1" t="n">
        <v>45667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63333-2021</t>
        </is>
      </c>
      <c r="B307" s="1" t="n">
        <v>44506</v>
      </c>
      <c r="C307" s="1" t="n">
        <v>45667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45667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63363-2021</t>
        </is>
      </c>
      <c r="B309" s="1" t="n">
        <v>44506</v>
      </c>
      <c r="C309" s="1" t="n">
        <v>45667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63222-2021</t>
        </is>
      </c>
      <c r="B310" s="1" t="n">
        <v>44508</v>
      </c>
      <c r="C310" s="1" t="n">
        <v>45667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65237-2021</t>
        </is>
      </c>
      <c r="B311" s="1" t="n">
        <v>44513</v>
      </c>
      <c r="C311" s="1" t="n">
        <v>45667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64990-2021</t>
        </is>
      </c>
      <c r="B312" s="1" t="n">
        <v>44514</v>
      </c>
      <c r="C312" s="1" t="n">
        <v>45667</v>
      </c>
      <c r="D312" t="inlineStr">
        <is>
          <t>VÄSTRA GÖTALANDS LÄN</t>
        </is>
      </c>
      <c r="E312" t="inlineStr">
        <is>
          <t>TANUM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45667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68214-2021</t>
        </is>
      </c>
      <c r="B314" s="1" t="n">
        <v>44525</v>
      </c>
      <c r="C314" s="1" t="n">
        <v>45667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68161-2021</t>
        </is>
      </c>
      <c r="B315" s="1" t="n">
        <v>44526</v>
      </c>
      <c r="C315" s="1" t="n">
        <v>45667</v>
      </c>
      <c r="D315" t="inlineStr">
        <is>
          <t>VÄSTRA GÖTALANDS LÄN</t>
        </is>
      </c>
      <c r="E315" t="inlineStr">
        <is>
          <t>TANUM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71158-2021</t>
        </is>
      </c>
      <c r="B316" s="1" t="n">
        <v>44537</v>
      </c>
      <c r="C316" s="1" t="n">
        <v>45667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70963-2021</t>
        </is>
      </c>
      <c r="B317" s="1" t="n">
        <v>44538</v>
      </c>
      <c r="C317" s="1" t="n">
        <v>45667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70979-2021</t>
        </is>
      </c>
      <c r="B318" s="1" t="n">
        <v>44538</v>
      </c>
      <c r="C318" s="1" t="n">
        <v>45667</v>
      </c>
      <c r="D318" t="inlineStr">
        <is>
          <t>VÄSTRA GÖTALANDS LÄN</t>
        </is>
      </c>
      <c r="E318" t="inlineStr">
        <is>
          <t>TANUM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71331-2021</t>
        </is>
      </c>
      <c r="B319" s="1" t="n">
        <v>44539</v>
      </c>
      <c r="C319" s="1" t="n">
        <v>45667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72223-2021</t>
        </is>
      </c>
      <c r="B320" s="1" t="n">
        <v>44544</v>
      </c>
      <c r="C320" s="1" t="n">
        <v>45667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72227-2021</t>
        </is>
      </c>
      <c r="B321" s="1" t="n">
        <v>44544</v>
      </c>
      <c r="C321" s="1" t="n">
        <v>45667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72228-2021</t>
        </is>
      </c>
      <c r="B322" s="1" t="n">
        <v>44544</v>
      </c>
      <c r="C322" s="1" t="n">
        <v>45667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</v>
      </c>
      <c r="C323" s="1" t="n">
        <v>45667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73816-2021</t>
        </is>
      </c>
      <c r="B324" s="1" t="n">
        <v>44552</v>
      </c>
      <c r="C324" s="1" t="n">
        <v>45667</v>
      </c>
      <c r="D324" t="inlineStr">
        <is>
          <t>VÄSTRA GÖTALANDS LÄN</t>
        </is>
      </c>
      <c r="E324" t="inlineStr">
        <is>
          <t>TANUM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181-2022</t>
        </is>
      </c>
      <c r="B325" s="1" t="n">
        <v>44563</v>
      </c>
      <c r="C325" s="1" t="n">
        <v>45667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184-2022</t>
        </is>
      </c>
      <c r="B326" s="1" t="n">
        <v>44563</v>
      </c>
      <c r="C326" s="1" t="n">
        <v>45667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1134-2022</t>
        </is>
      </c>
      <c r="B327" s="1" t="n">
        <v>44572</v>
      </c>
      <c r="C327" s="1" t="n">
        <v>45667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1369-2022</t>
        </is>
      </c>
      <c r="B328" s="1" t="n">
        <v>44572</v>
      </c>
      <c r="C328" s="1" t="n">
        <v>45667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1427-2022</t>
        </is>
      </c>
      <c r="B329" s="1" t="n">
        <v>44573</v>
      </c>
      <c r="C329" s="1" t="n">
        <v>45667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45667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1432-2022</t>
        </is>
      </c>
      <c r="B331" s="1" t="n">
        <v>44573</v>
      </c>
      <c r="C331" s="1" t="n">
        <v>45667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1430-2022</t>
        </is>
      </c>
      <c r="B332" s="1" t="n">
        <v>44573</v>
      </c>
      <c r="C332" s="1" t="n">
        <v>45667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1441-2022</t>
        </is>
      </c>
      <c r="B333" s="1" t="n">
        <v>44573</v>
      </c>
      <c r="C333" s="1" t="n">
        <v>45667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1555-2022</t>
        </is>
      </c>
      <c r="B334" s="1" t="n">
        <v>44573</v>
      </c>
      <c r="C334" s="1" t="n">
        <v>45667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2420-2022</t>
        </is>
      </c>
      <c r="B335" s="1" t="n">
        <v>44579</v>
      </c>
      <c r="C335" s="1" t="n">
        <v>45667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3487-2022</t>
        </is>
      </c>
      <c r="B336" s="1" t="n">
        <v>44585</v>
      </c>
      <c r="C336" s="1" t="n">
        <v>45667</v>
      </c>
      <c r="D336" t="inlineStr">
        <is>
          <t>VÄSTRA GÖTALANDS LÄN</t>
        </is>
      </c>
      <c r="E336" t="inlineStr">
        <is>
          <t>TANUM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45667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4584-2022</t>
        </is>
      </c>
      <c r="B338" s="1" t="n">
        <v>44591</v>
      </c>
      <c r="C338" s="1" t="n">
        <v>45667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4991-2022</t>
        </is>
      </c>
      <c r="B339" s="1" t="n">
        <v>44593</v>
      </c>
      <c r="C339" s="1" t="n">
        <v>45667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5961-2022</t>
        </is>
      </c>
      <c r="B340" s="1" t="n">
        <v>44596</v>
      </c>
      <c r="C340" s="1" t="n">
        <v>45667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5958-2022</t>
        </is>
      </c>
      <c r="B341" s="1" t="n">
        <v>44596</v>
      </c>
      <c r="C341" s="1" t="n">
        <v>45667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6529-2022</t>
        </is>
      </c>
      <c r="B342" s="1" t="n">
        <v>44601</v>
      </c>
      <c r="C342" s="1" t="n">
        <v>45667</v>
      </c>
      <c r="D342" t="inlineStr">
        <is>
          <t>VÄSTRA GÖTALANDS LÄN</t>
        </is>
      </c>
      <c r="E342" t="inlineStr">
        <is>
          <t>TANUM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6630-2022</t>
        </is>
      </c>
      <c r="B343" s="1" t="n">
        <v>44601</v>
      </c>
      <c r="C343" s="1" t="n">
        <v>45667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7352-2022</t>
        </is>
      </c>
      <c r="B344" s="1" t="n">
        <v>44606</v>
      </c>
      <c r="C344" s="1" t="n">
        <v>45667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45667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45667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8736-2022</t>
        </is>
      </c>
      <c r="B347" s="1" t="n">
        <v>44614</v>
      </c>
      <c r="C347" s="1" t="n">
        <v>45667</v>
      </c>
      <c r="D347" t="inlineStr">
        <is>
          <t>VÄSTRA GÖTALANDS LÄN</t>
        </is>
      </c>
      <c r="E347" t="inlineStr">
        <is>
          <t>TANUM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10043-2022</t>
        </is>
      </c>
      <c r="B348" s="1" t="n">
        <v>44621</v>
      </c>
      <c r="C348" s="1" t="n">
        <v>45667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10743-2022</t>
        </is>
      </c>
      <c r="B349" s="1" t="n">
        <v>44627</v>
      </c>
      <c r="C349" s="1" t="n">
        <v>45667</v>
      </c>
      <c r="D349" t="inlineStr">
        <is>
          <t>VÄSTRA GÖTALANDS LÄN</t>
        </is>
      </c>
      <c r="E349" t="inlineStr">
        <is>
          <t>TANUM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11375-2022</t>
        </is>
      </c>
      <c r="B350" s="1" t="n">
        <v>44630</v>
      </c>
      <c r="C350" s="1" t="n">
        <v>45667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14269-2022</t>
        </is>
      </c>
      <c r="B351" s="1" t="n">
        <v>44651</v>
      </c>
      <c r="C351" s="1" t="n">
        <v>45667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17791-2022</t>
        </is>
      </c>
      <c r="B352" s="1" t="n">
        <v>44683</v>
      </c>
      <c r="C352" s="1" t="n">
        <v>45667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18071-2022</t>
        </is>
      </c>
      <c r="B353" s="1" t="n">
        <v>44684</v>
      </c>
      <c r="C353" s="1" t="n">
        <v>45667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20190-2022</t>
        </is>
      </c>
      <c r="B354" s="1" t="n">
        <v>44698</v>
      </c>
      <c r="C354" s="1" t="n">
        <v>45667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20247-2022</t>
        </is>
      </c>
      <c r="B355" s="1" t="n">
        <v>44698</v>
      </c>
      <c r="C355" s="1" t="n">
        <v>45667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20894-2022</t>
        </is>
      </c>
      <c r="B356" s="1" t="n">
        <v>44701</v>
      </c>
      <c r="C356" s="1" t="n">
        <v>45667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21093-2022</t>
        </is>
      </c>
      <c r="B357" s="1" t="n">
        <v>44704</v>
      </c>
      <c r="C357" s="1" t="n">
        <v>45667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44720</v>
      </c>
      <c r="C358" s="1" t="n">
        <v>45667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23800-2022</t>
        </is>
      </c>
      <c r="B359" s="1" t="n">
        <v>44722</v>
      </c>
      <c r="C359" s="1" t="n">
        <v>45667</v>
      </c>
      <c r="D359" t="inlineStr">
        <is>
          <t>VÄSTRA GÖTALANDS LÄN</t>
        </is>
      </c>
      <c r="E359" t="inlineStr">
        <is>
          <t>TANUM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</v>
      </c>
      <c r="C360" s="1" t="n">
        <v>45667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24093-2022</t>
        </is>
      </c>
      <c r="B361" s="1" t="n">
        <v>44725</v>
      </c>
      <c r="C361" s="1" t="n">
        <v>45667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45667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24118-2022</t>
        </is>
      </c>
      <c r="B363" s="1" t="n">
        <v>44725</v>
      </c>
      <c r="C363" s="1" t="n">
        <v>45667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24090-2022</t>
        </is>
      </c>
      <c r="B364" s="1" t="n">
        <v>44725</v>
      </c>
      <c r="C364" s="1" t="n">
        <v>45667</v>
      </c>
      <c r="D364" t="inlineStr">
        <is>
          <t>VÄSTRA GÖTALANDS LÄN</t>
        </is>
      </c>
      <c r="E364" t="inlineStr">
        <is>
          <t>TANUM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25313-2022</t>
        </is>
      </c>
      <c r="B365" s="1" t="n">
        <v>44731</v>
      </c>
      <c r="C365" s="1" t="n">
        <v>45667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26187-2022</t>
        </is>
      </c>
      <c r="B366" s="1" t="n">
        <v>44735</v>
      </c>
      <c r="C366" s="1" t="n">
        <v>45667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28092-2022</t>
        </is>
      </c>
      <c r="B367" s="1" t="n">
        <v>44746</v>
      </c>
      <c r="C367" s="1" t="n">
        <v>45667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28761-2022</t>
        </is>
      </c>
      <c r="B368" s="1" t="n">
        <v>44749</v>
      </c>
      <c r="C368" s="1" t="n">
        <v>45667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28764-2022</t>
        </is>
      </c>
      <c r="B369" s="1" t="n">
        <v>44749</v>
      </c>
      <c r="C369" s="1" t="n">
        <v>45667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33608-2022</t>
        </is>
      </c>
      <c r="B370" s="1" t="n">
        <v>44789</v>
      </c>
      <c r="C370" s="1" t="n">
        <v>45667</v>
      </c>
      <c r="D370" t="inlineStr">
        <is>
          <t>VÄSTRA GÖTALANDS LÄN</t>
        </is>
      </c>
      <c r="E370" t="inlineStr">
        <is>
          <t>TANUM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33620-2022</t>
        </is>
      </c>
      <c r="B371" s="1" t="n">
        <v>44789</v>
      </c>
      <c r="C371" s="1" t="n">
        <v>45667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34213-2022</t>
        </is>
      </c>
      <c r="B372" s="1" t="n">
        <v>44791</v>
      </c>
      <c r="C372" s="1" t="n">
        <v>45667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34331-2022</t>
        </is>
      </c>
      <c r="B373" s="1" t="n">
        <v>44792</v>
      </c>
      <c r="C373" s="1" t="n">
        <v>45667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</v>
      </c>
      <c r="C374" s="1" t="n">
        <v>45667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35720-2022</t>
        </is>
      </c>
      <c r="B375" s="1" t="n">
        <v>44799</v>
      </c>
      <c r="C375" s="1" t="n">
        <v>45667</v>
      </c>
      <c r="D375" t="inlineStr">
        <is>
          <t>VÄSTRA GÖTALANDS LÄN</t>
        </is>
      </c>
      <c r="E375" t="inlineStr">
        <is>
          <t>TANUM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35841-2022</t>
        </is>
      </c>
      <c r="B376" s="1" t="n">
        <v>44802</v>
      </c>
      <c r="C376" s="1" t="n">
        <v>45667</v>
      </c>
      <c r="D376" t="inlineStr">
        <is>
          <t>VÄSTRA GÖTALANDS LÄN</t>
        </is>
      </c>
      <c r="E376" t="inlineStr">
        <is>
          <t>TANUM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35929-2022</t>
        </is>
      </c>
      <c r="B377" s="1" t="n">
        <v>44802</v>
      </c>
      <c r="C377" s="1" t="n">
        <v>45667</v>
      </c>
      <c r="D377" t="inlineStr">
        <is>
          <t>VÄSTRA GÖTALANDS LÄN</t>
        </is>
      </c>
      <c r="E377" t="inlineStr">
        <is>
          <t>TANUM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35915-2022</t>
        </is>
      </c>
      <c r="B378" s="1" t="n">
        <v>44802</v>
      </c>
      <c r="C378" s="1" t="n">
        <v>45667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35926-2022</t>
        </is>
      </c>
      <c r="B379" s="1" t="n">
        <v>44802</v>
      </c>
      <c r="C379" s="1" t="n">
        <v>45667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37115-2022</t>
        </is>
      </c>
      <c r="B380" s="1" t="n">
        <v>44806</v>
      </c>
      <c r="C380" s="1" t="n">
        <v>45667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37099-2022</t>
        </is>
      </c>
      <c r="B381" s="1" t="n">
        <v>44806</v>
      </c>
      <c r="C381" s="1" t="n">
        <v>45667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37118-2022</t>
        </is>
      </c>
      <c r="B382" s="1" t="n">
        <v>44806</v>
      </c>
      <c r="C382" s="1" t="n">
        <v>45667</v>
      </c>
      <c r="D382" t="inlineStr">
        <is>
          <t>VÄSTRA GÖTALANDS LÄN</t>
        </is>
      </c>
      <c r="E382" t="inlineStr">
        <is>
          <t>TANUM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</v>
      </c>
      <c r="C383" s="1" t="n">
        <v>45667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45667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39181-2022</t>
        </is>
      </c>
      <c r="B385" s="1" t="n">
        <v>44817</v>
      </c>
      <c r="C385" s="1" t="n">
        <v>45667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40465-2022</t>
        </is>
      </c>
      <c r="B386" s="1" t="n">
        <v>44823</v>
      </c>
      <c r="C386" s="1" t="n">
        <v>45667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40467-2022</t>
        </is>
      </c>
      <c r="B387" s="1" t="n">
        <v>44823</v>
      </c>
      <c r="C387" s="1" t="n">
        <v>45667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41296-2022</t>
        </is>
      </c>
      <c r="B388" s="1" t="n">
        <v>44824</v>
      </c>
      <c r="C388" s="1" t="n">
        <v>45667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41024-2022</t>
        </is>
      </c>
      <c r="B389" s="1" t="n">
        <v>44824</v>
      </c>
      <c r="C389" s="1" t="n">
        <v>45667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41283-2022</t>
        </is>
      </c>
      <c r="B390" s="1" t="n">
        <v>44825</v>
      </c>
      <c r="C390" s="1" t="n">
        <v>45667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42088-2022</t>
        </is>
      </c>
      <c r="B391" s="1" t="n">
        <v>44830</v>
      </c>
      <c r="C391" s="1" t="n">
        <v>45667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45667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42075-2022</t>
        </is>
      </c>
      <c r="B393" s="1" t="n">
        <v>44830</v>
      </c>
      <c r="C393" s="1" t="n">
        <v>45667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42756-2022</t>
        </is>
      </c>
      <c r="B394" s="1" t="n">
        <v>44832</v>
      </c>
      <c r="C394" s="1" t="n">
        <v>45667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43242-2022</t>
        </is>
      </c>
      <c r="B395" s="1" t="n">
        <v>44834</v>
      </c>
      <c r="C395" s="1" t="n">
        <v>45667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43715-2022</t>
        </is>
      </c>
      <c r="B396" s="1" t="n">
        <v>44837</v>
      </c>
      <c r="C396" s="1" t="n">
        <v>45667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44301-2022</t>
        </is>
      </c>
      <c r="B397" s="1" t="n">
        <v>44839</v>
      </c>
      <c r="C397" s="1" t="n">
        <v>45667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44889-2022</t>
        </is>
      </c>
      <c r="B398" s="1" t="n">
        <v>44841</v>
      </c>
      <c r="C398" s="1" t="n">
        <v>45667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45677-2022</t>
        </is>
      </c>
      <c r="B399" s="1" t="n">
        <v>44845</v>
      </c>
      <c r="C399" s="1" t="n">
        <v>45667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46140-2022</t>
        </is>
      </c>
      <c r="B400" s="1" t="n">
        <v>44846</v>
      </c>
      <c r="C400" s="1" t="n">
        <v>45667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47596-2022</t>
        </is>
      </c>
      <c r="B401" s="1" t="n">
        <v>44852</v>
      </c>
      <c r="C401" s="1" t="n">
        <v>45667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48302-2022</t>
        </is>
      </c>
      <c r="B402" s="1" t="n">
        <v>44858</v>
      </c>
      <c r="C402" s="1" t="n">
        <v>45667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49751-2022</t>
        </is>
      </c>
      <c r="B403" s="1" t="n">
        <v>44862</v>
      </c>
      <c r="C403" s="1" t="n">
        <v>45667</v>
      </c>
      <c r="D403" t="inlineStr">
        <is>
          <t>VÄSTRA GÖTALANDS LÄN</t>
        </is>
      </c>
      <c r="E403" t="inlineStr">
        <is>
          <t>TANUM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49826-2022</t>
        </is>
      </c>
      <c r="B404" s="1" t="n">
        <v>44862</v>
      </c>
      <c r="C404" s="1" t="n">
        <v>45667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49741-2022</t>
        </is>
      </c>
      <c r="B405" s="1" t="n">
        <v>44862</v>
      </c>
      <c r="C405" s="1" t="n">
        <v>45667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50941-2022</t>
        </is>
      </c>
      <c r="B406" s="1" t="n">
        <v>44867</v>
      </c>
      <c r="C406" s="1" t="n">
        <v>45667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50935-2022</t>
        </is>
      </c>
      <c r="B407" s="1" t="n">
        <v>44867</v>
      </c>
      <c r="C407" s="1" t="n">
        <v>45667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51825-2022</t>
        </is>
      </c>
      <c r="B408" s="1" t="n">
        <v>44872</v>
      </c>
      <c r="C408" s="1" t="n">
        <v>45667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51812-2022</t>
        </is>
      </c>
      <c r="B409" s="1" t="n">
        <v>44872</v>
      </c>
      <c r="C409" s="1" t="n">
        <v>45667</v>
      </c>
      <c r="D409" t="inlineStr">
        <is>
          <t>VÄSTRA GÖTALANDS LÄN</t>
        </is>
      </c>
      <c r="E409" t="inlineStr">
        <is>
          <t>TANUM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45667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53406-2022</t>
        </is>
      </c>
      <c r="B411" s="1" t="n">
        <v>44879</v>
      </c>
      <c r="C411" s="1" t="n">
        <v>45667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45667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56379-2022</t>
        </is>
      </c>
      <c r="B413" s="1" t="n">
        <v>44890</v>
      </c>
      <c r="C413" s="1" t="n">
        <v>45667</v>
      </c>
      <c r="D413" t="inlineStr">
        <is>
          <t>VÄSTRA GÖTALANDS LÄN</t>
        </is>
      </c>
      <c r="E413" t="inlineStr">
        <is>
          <t>TANUM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56378-2022</t>
        </is>
      </c>
      <c r="B414" s="1" t="n">
        <v>44890</v>
      </c>
      <c r="C414" s="1" t="n">
        <v>45667</v>
      </c>
      <c r="D414" t="inlineStr">
        <is>
          <t>VÄSTRA GÖTALANDS LÄN</t>
        </is>
      </c>
      <c r="E414" t="inlineStr">
        <is>
          <t>TANUM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57559-2022</t>
        </is>
      </c>
      <c r="B415" s="1" t="n">
        <v>44896</v>
      </c>
      <c r="C415" s="1" t="n">
        <v>45667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</v>
      </c>
      <c r="C416" s="1" t="n">
        <v>45667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</v>
      </c>
      <c r="C417" s="1" t="n">
        <v>45667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58586-2022</t>
        </is>
      </c>
      <c r="B418" s="1" t="n">
        <v>44902</v>
      </c>
      <c r="C418" s="1" t="n">
        <v>45667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59611-2022</t>
        </is>
      </c>
      <c r="B419" s="1" t="n">
        <v>44907</v>
      </c>
      <c r="C419" s="1" t="n">
        <v>45667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61213-2022</t>
        </is>
      </c>
      <c r="B420" s="1" t="n">
        <v>44908</v>
      </c>
      <c r="C420" s="1" t="n">
        <v>45667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60994-2022</t>
        </is>
      </c>
      <c r="B421" s="1" t="n">
        <v>44908</v>
      </c>
      <c r="C421" s="1" t="n">
        <v>45667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45667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61974-2022</t>
        </is>
      </c>
      <c r="B423" s="1" t="n">
        <v>44914</v>
      </c>
      <c r="C423" s="1" t="n">
        <v>45667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61747-2022</t>
        </is>
      </c>
      <c r="B424" s="1" t="n">
        <v>44917</v>
      </c>
      <c r="C424" s="1" t="n">
        <v>45667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607-2023</t>
        </is>
      </c>
      <c r="B425" s="1" t="n">
        <v>44925</v>
      </c>
      <c r="C425" s="1" t="n">
        <v>45667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594-2023</t>
        </is>
      </c>
      <c r="B426" s="1" t="n">
        <v>44925</v>
      </c>
      <c r="C426" s="1" t="n">
        <v>45667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438-2023</t>
        </is>
      </c>
      <c r="B427" s="1" t="n">
        <v>44929</v>
      </c>
      <c r="C427" s="1" t="n">
        <v>45667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624-2023</t>
        </is>
      </c>
      <c r="B428" s="1" t="n">
        <v>44930</v>
      </c>
      <c r="C428" s="1" t="n">
        <v>45667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646-2023</t>
        </is>
      </c>
      <c r="B429" s="1" t="n">
        <v>44930</v>
      </c>
      <c r="C429" s="1" t="n">
        <v>45667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1588-2023</t>
        </is>
      </c>
      <c r="B430" s="1" t="n">
        <v>44937</v>
      </c>
      <c r="C430" s="1" t="n">
        <v>45667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2004-2023</t>
        </is>
      </c>
      <c r="B431" s="1" t="n">
        <v>44939</v>
      </c>
      <c r="C431" s="1" t="n">
        <v>45667</v>
      </c>
      <c r="D431" t="inlineStr">
        <is>
          <t>VÄSTRA GÖTALANDS LÄN</t>
        </is>
      </c>
      <c r="E431" t="inlineStr">
        <is>
          <t>TANUM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2706-2023</t>
        </is>
      </c>
      <c r="B432" s="1" t="n">
        <v>44944</v>
      </c>
      <c r="C432" s="1" t="n">
        <v>45667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2792-2023</t>
        </is>
      </c>
      <c r="B433" s="1" t="n">
        <v>44944</v>
      </c>
      <c r="C433" s="1" t="n">
        <v>45667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3131-2023</t>
        </is>
      </c>
      <c r="B434" s="1" t="n">
        <v>44946</v>
      </c>
      <c r="C434" s="1" t="n">
        <v>45667</v>
      </c>
      <c r="D434" t="inlineStr">
        <is>
          <t>VÄSTRA GÖTALANDS LÄN</t>
        </is>
      </c>
      <c r="E434" t="inlineStr">
        <is>
          <t>TANUM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3787-2023</t>
        </is>
      </c>
      <c r="B435" s="1" t="n">
        <v>44951</v>
      </c>
      <c r="C435" s="1" t="n">
        <v>45667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4362-2023</t>
        </is>
      </c>
      <c r="B436" s="1" t="n">
        <v>44954</v>
      </c>
      <c r="C436" s="1" t="n">
        <v>45667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5989-2023</t>
        </is>
      </c>
      <c r="B437" s="1" t="n">
        <v>44964</v>
      </c>
      <c r="C437" s="1" t="n">
        <v>45667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6011-2023</t>
        </is>
      </c>
      <c r="B438" s="1" t="n">
        <v>44964</v>
      </c>
      <c r="C438" s="1" t="n">
        <v>45667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6841-2023</t>
        </is>
      </c>
      <c r="B439" s="1" t="n">
        <v>44964</v>
      </c>
      <c r="C439" s="1" t="n">
        <v>45667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7046-2023</t>
        </is>
      </c>
      <c r="B440" s="1" t="n">
        <v>44968</v>
      </c>
      <c r="C440" s="1" t="n">
        <v>45667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7708-2023</t>
        </is>
      </c>
      <c r="B441" s="1" t="n">
        <v>44969</v>
      </c>
      <c r="C441" s="1" t="n">
        <v>45667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7705-2023</t>
        </is>
      </c>
      <c r="B442" s="1" t="n">
        <v>44969</v>
      </c>
      <c r="C442" s="1" t="n">
        <v>45667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7642-2023</t>
        </is>
      </c>
      <c r="B443" s="1" t="n">
        <v>44972</v>
      </c>
      <c r="C443" s="1" t="n">
        <v>45667</v>
      </c>
      <c r="D443" t="inlineStr">
        <is>
          <t>VÄSTRA GÖTALANDS LÄN</t>
        </is>
      </c>
      <c r="E443" t="inlineStr">
        <is>
          <t>TANUM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7674-2023</t>
        </is>
      </c>
      <c r="B444" s="1" t="n">
        <v>44972</v>
      </c>
      <c r="C444" s="1" t="n">
        <v>45667</v>
      </c>
      <c r="D444" t="inlineStr">
        <is>
          <t>VÄSTRA GÖTALANDS LÄN</t>
        </is>
      </c>
      <c r="E444" t="inlineStr">
        <is>
          <t>TANUM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8490-2023</t>
        </is>
      </c>
      <c r="B445" s="1" t="n">
        <v>44977</v>
      </c>
      <c r="C445" s="1" t="n">
        <v>45667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8498-2023</t>
        </is>
      </c>
      <c r="B446" s="1" t="n">
        <v>44977</v>
      </c>
      <c r="C446" s="1" t="n">
        <v>45667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11853-2023</t>
        </is>
      </c>
      <c r="B447" s="1" t="n">
        <v>44995</v>
      </c>
      <c r="C447" s="1" t="n">
        <v>45667</v>
      </c>
      <c r="D447" t="inlineStr">
        <is>
          <t>VÄSTRA GÖTALANDS LÄN</t>
        </is>
      </c>
      <c r="E447" t="inlineStr">
        <is>
          <t>TANUM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12077-2023</t>
        </is>
      </c>
      <c r="B448" s="1" t="n">
        <v>44997</v>
      </c>
      <c r="C448" s="1" t="n">
        <v>45667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12340-2023</t>
        </is>
      </c>
      <c r="B449" s="1" t="n">
        <v>44999</v>
      </c>
      <c r="C449" s="1" t="n">
        <v>45667</v>
      </c>
      <c r="D449" t="inlineStr">
        <is>
          <t>VÄSTRA GÖTALANDS LÄN</t>
        </is>
      </c>
      <c r="E449" t="inlineStr">
        <is>
          <t>TANUM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12343-2023</t>
        </is>
      </c>
      <c r="B450" s="1" t="n">
        <v>44999</v>
      </c>
      <c r="C450" s="1" t="n">
        <v>45667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12347-2023</t>
        </is>
      </c>
      <c r="B451" s="1" t="n">
        <v>44999</v>
      </c>
      <c r="C451" s="1" t="n">
        <v>45667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45667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45667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45667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45667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45667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45667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45667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45667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45667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45667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45667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45667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45667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45667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45667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45667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45667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45667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45667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45667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45667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45667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45667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45667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45667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45667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45667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45667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45667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45667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45667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45667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45667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45667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45667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45667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45667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45667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45667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45667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45667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45667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45667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45667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45667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45667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45667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45667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45667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45667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45667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45667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45667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45667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45667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45667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45667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45667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45667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45667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45667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45667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45667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45667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45667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45667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45667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45667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45667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45667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45667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45667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45667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45667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45667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45667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45667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45667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45667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45667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45667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45667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45667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45667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45667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45667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45667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45667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45667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45667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45667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45667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45667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45667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45667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45667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45667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45667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45667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45667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45667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45667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45667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45667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45667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45667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45667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45667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45667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45667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45667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45667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45667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45667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45667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45667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45667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45667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45667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45667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45667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45667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45667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45667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45667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45667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45667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45667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45667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45667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45667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45667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45667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45667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45667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45667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45667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45667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45667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45667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45667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45667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45667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45667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45667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45667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45667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45667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45667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45667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45667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45667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45667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45667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45667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45667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45667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45667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45667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45667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45667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45667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45667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45667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45667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45667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45667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45667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45667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45667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45667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45667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45667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45667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45667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45667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45667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45667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45667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45667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45667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45667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45667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45667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45667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45667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45667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45667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45667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45667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45667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45667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45667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45667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45667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45667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45667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45667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45667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45667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45667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45667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45667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45667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45667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45667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45667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45667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45667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45667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45667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45667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45667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45667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45667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45667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45667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45667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45667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45667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45667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45667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45667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45667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45667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45667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45667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45667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45667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45667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45667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45667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45667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45667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45667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45667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45667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45667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45667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45667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45667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45667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45667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45667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45667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45667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45667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45667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45667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45667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45667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45667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45667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45667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45667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45667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45667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45667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45667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45667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45667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45667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45667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45667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45667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45667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45667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45667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45667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45667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45667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45667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45667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45667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45667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45667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45667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45667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45667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45667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45667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45667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45667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45667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45667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45667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45667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45667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45667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45667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45667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45667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45667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45667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45667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45667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45667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45667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45667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45667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45667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45667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45667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45667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45667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45667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45667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45667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45667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45667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45667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45667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45667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45667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45667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45667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45667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45667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58661-2024</t>
        </is>
      </c>
      <c r="B770" s="1" t="n">
        <v>45635</v>
      </c>
      <c r="C770" s="1" t="n">
        <v>45667</v>
      </c>
      <c r="D770" t="inlineStr">
        <is>
          <t>VÄSTRA GÖTALANDS LÄN</t>
        </is>
      </c>
      <c r="E770" t="inlineStr">
        <is>
          <t>TANUM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58681-2024</t>
        </is>
      </c>
      <c r="B771" s="1" t="n">
        <v>45635</v>
      </c>
      <c r="C771" s="1" t="n">
        <v>45667</v>
      </c>
      <c r="D771" t="inlineStr">
        <is>
          <t>VÄSTRA GÖTALANDS LÄN</t>
        </is>
      </c>
      <c r="E771" t="inlineStr">
        <is>
          <t>TANUM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58649-2024</t>
        </is>
      </c>
      <c r="B772" s="1" t="n">
        <v>45635</v>
      </c>
      <c r="C772" s="1" t="n">
        <v>45667</v>
      </c>
      <c r="D772" t="inlineStr">
        <is>
          <t>VÄSTRA GÖTALANDS LÄN</t>
        </is>
      </c>
      <c r="E772" t="inlineStr">
        <is>
          <t>TANUM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58654-2024</t>
        </is>
      </c>
      <c r="B773" s="1" t="n">
        <v>45635</v>
      </c>
      <c r="C773" s="1" t="n">
        <v>45667</v>
      </c>
      <c r="D773" t="inlineStr">
        <is>
          <t>VÄSTRA GÖTALANDS LÄN</t>
        </is>
      </c>
      <c r="E773" t="inlineStr">
        <is>
          <t>TANUM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45667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45667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60961-2024</t>
        </is>
      </c>
      <c r="B776" s="1" t="n">
        <v>45645</v>
      </c>
      <c r="C776" s="1" t="n">
        <v>45667</v>
      </c>
      <c r="D776" t="inlineStr">
        <is>
          <t>VÄSTRA GÖTALANDS LÄN</t>
        </is>
      </c>
      <c r="E776" t="inlineStr">
        <is>
          <t>TANUM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61241-2024</t>
        </is>
      </c>
      <c r="B777" s="1" t="n">
        <v>45645</v>
      </c>
      <c r="C777" s="1" t="n">
        <v>45667</v>
      </c>
      <c r="D777" t="inlineStr">
        <is>
          <t>VÄSTRA GÖTALANDS LÄN</t>
        </is>
      </c>
      <c r="E777" t="inlineStr">
        <is>
          <t>TANUM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61236-2024</t>
        </is>
      </c>
      <c r="B778" s="1" t="n">
        <v>45645</v>
      </c>
      <c r="C778" s="1" t="n">
        <v>45667</v>
      </c>
      <c r="D778" t="inlineStr">
        <is>
          <t>VÄSTRA GÖTALANDS LÄN</t>
        </is>
      </c>
      <c r="E778" t="inlineStr">
        <is>
          <t>TANUM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45667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45667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61535-2024</t>
        </is>
      </c>
      <c r="B781" s="1" t="n">
        <v>45646</v>
      </c>
      <c r="C781" s="1" t="n">
        <v>45667</v>
      </c>
      <c r="D781" t="inlineStr">
        <is>
          <t>VÄSTRA GÖTALANDS LÄN</t>
        </is>
      </c>
      <c r="E781" t="inlineStr">
        <is>
          <t>TANUM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45667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101-2025</t>
        </is>
      </c>
      <c r="B783" s="1" t="n">
        <v>45649</v>
      </c>
      <c r="C783" s="1" t="n">
        <v>45667</v>
      </c>
      <c r="D783" t="inlineStr">
        <is>
          <t>VÄSTRA GÖTALANDS LÄN</t>
        </is>
      </c>
      <c r="E783" t="inlineStr">
        <is>
          <t>TANUM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45667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131-2025</t>
        </is>
      </c>
      <c r="B785" s="1" t="n">
        <v>45649</v>
      </c>
      <c r="C785" s="1" t="n">
        <v>45667</v>
      </c>
      <c r="D785" t="inlineStr">
        <is>
          <t>VÄSTRA GÖTALANDS LÄN</t>
        </is>
      </c>
      <c r="E785" t="inlineStr">
        <is>
          <t>TANUM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62005-2024</t>
        </is>
      </c>
      <c r="B786" s="1" t="n">
        <v>45655</v>
      </c>
      <c r="C786" s="1" t="n">
        <v>45667</v>
      </c>
      <c r="D786" t="inlineStr">
        <is>
          <t>VÄSTRA GÖTALANDS LÄN</t>
        </is>
      </c>
      <c r="E786" t="inlineStr">
        <is>
          <t>TANUM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180-2025</t>
        </is>
      </c>
      <c r="B787" s="1" t="n">
        <v>45659</v>
      </c>
      <c r="C787" s="1" t="n">
        <v>45667</v>
      </c>
      <c r="D787" t="inlineStr">
        <is>
          <t>VÄSTRA GÖTALANDS LÄN</t>
        </is>
      </c>
      <c r="E787" t="inlineStr">
        <is>
          <t>TANUM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181-2025</t>
        </is>
      </c>
      <c r="B788" s="1" t="n">
        <v>45659</v>
      </c>
      <c r="C788" s="1" t="n">
        <v>45667</v>
      </c>
      <c r="D788" t="inlineStr">
        <is>
          <t>VÄSTRA GÖTALANDS LÄN</t>
        </is>
      </c>
      <c r="E788" t="inlineStr">
        <is>
          <t>TANUM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178-2025</t>
        </is>
      </c>
      <c r="B789" s="1" t="n">
        <v>45659</v>
      </c>
      <c r="C789" s="1" t="n">
        <v>45667</v>
      </c>
      <c r="D789" t="inlineStr">
        <is>
          <t>VÄSTRA GÖTALANDS LÄN</t>
        </is>
      </c>
      <c r="E789" t="inlineStr">
        <is>
          <t>TANUM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312-2025</t>
        </is>
      </c>
      <c r="B790" s="1" t="n">
        <v>45660</v>
      </c>
      <c r="C790" s="1" t="n">
        <v>45667</v>
      </c>
      <c r="D790" t="inlineStr">
        <is>
          <t>VÄSTRA GÖTALANDS LÄN</t>
        </is>
      </c>
      <c r="E790" t="inlineStr">
        <is>
          <t>TANUM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2025-01-10T16:13:12Z</dcterms:created>
  <dcterms:modified xmlns:dcterms="http://purl.org/dc/terms/" xmlns:xsi="http://www.w3.org/2001/XMLSchema-instance" xsi:type="dcterms:W3CDTF">2025-01-10T16:13:12Z</dcterms:modified>
</cp:coreProperties>
</file>