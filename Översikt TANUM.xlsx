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45566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45566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45566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45566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45566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45566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11943-2024</t>
        </is>
      </c>
      <c r="B8" s="1" t="n">
        <v>45376</v>
      </c>
      <c r="C8" s="1" t="n">
        <v>45566</v>
      </c>
      <c r="D8" t="inlineStr">
        <is>
          <t>VÄSTRA GÖTALANDS LÄN</t>
        </is>
      </c>
      <c r="E8" t="inlineStr">
        <is>
          <t>TANUM</t>
        </is>
      </c>
      <c r="G8" t="n">
        <v>8.699999999999999</v>
      </c>
      <c r="H8" t="n">
        <v>5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Knärot
Kambräken
Fläcknycklar
Lopplummer
Mattlummer
Revlummer</t>
        </is>
      </c>
      <c r="S8">
        <f>HYPERLINK("https://klasma.github.io/Logging_1435/artfynd/A 11943-2024 artfynd.xlsx", "A 11943-2024")</f>
        <v/>
      </c>
      <c r="T8">
        <f>HYPERLINK("https://klasma.github.io/Logging_1435/kartor/A 11943-2024 karta.png", "A 11943-2024")</f>
        <v/>
      </c>
      <c r="U8">
        <f>HYPERLINK("https://klasma.github.io/Logging_1435/knärot/A 11943-2024 karta knärot.png", "A 11943-2024")</f>
        <v/>
      </c>
      <c r="V8">
        <f>HYPERLINK("https://klasma.github.io/Logging_1435/klagomål/A 11943-2024 FSC-klagomål.docx", "A 11943-2024")</f>
        <v/>
      </c>
      <c r="W8">
        <f>HYPERLINK("https://klasma.github.io/Logging_1435/klagomålsmail/A 11943-2024 FSC-klagomål mail.docx", "A 11943-2024")</f>
        <v/>
      </c>
      <c r="X8">
        <f>HYPERLINK("https://klasma.github.io/Logging_1435/tillsyn/A 11943-2024 tillsynsbegäran.docx", "A 11943-2024")</f>
        <v/>
      </c>
      <c r="Y8">
        <f>HYPERLINK("https://klasma.github.io/Logging_1435/tillsynsmail/A 11943-2024 tillsynsbegäran mail.docx", "A 11943-2024")</f>
        <v/>
      </c>
    </row>
    <row r="9" ht="15" customHeight="1">
      <c r="A9" t="inlineStr">
        <is>
          <t>A 45388-2019</t>
        </is>
      </c>
      <c r="B9" s="1" t="n">
        <v>43707</v>
      </c>
      <c r="C9" s="1" t="n">
        <v>45566</v>
      </c>
      <c r="D9" t="inlineStr">
        <is>
          <t>VÄSTRA GÖTALANDS LÄN</t>
        </is>
      </c>
      <c r="E9" t="inlineStr">
        <is>
          <t>TANUM</t>
        </is>
      </c>
      <c r="G9" t="n">
        <v>2.4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Järpe
Spillkråka
Stor revmossa
Västlig hakmossa
Revlummer</t>
        </is>
      </c>
      <c r="S9">
        <f>HYPERLINK("https://klasma.github.io/Logging_1435/artfynd/A 45388-2019 artfynd.xlsx", "A 45388-2019")</f>
        <v/>
      </c>
      <c r="T9">
        <f>HYPERLINK("https://klasma.github.io/Logging_1435/kartor/A 45388-2019 karta.png", "A 45388-2019")</f>
        <v/>
      </c>
      <c r="V9">
        <f>HYPERLINK("https://klasma.github.io/Logging_1435/klagomål/A 45388-2019 FSC-klagomål.docx", "A 45388-2019")</f>
        <v/>
      </c>
      <c r="W9">
        <f>HYPERLINK("https://klasma.github.io/Logging_1435/klagomålsmail/A 45388-2019 FSC-klagomål mail.docx", "A 45388-2019")</f>
        <v/>
      </c>
      <c r="X9">
        <f>HYPERLINK("https://klasma.github.io/Logging_1435/tillsyn/A 45388-2019 tillsynsbegäran.docx", "A 45388-2019")</f>
        <v/>
      </c>
      <c r="Y9">
        <f>HYPERLINK("https://klasma.github.io/Logging_1435/tillsynsmail/A 45388-2019 tillsynsbegäran mail.docx", "A 45388-2019")</f>
        <v/>
      </c>
      <c r="Z9">
        <f>HYPERLINK("https://klasma.github.io/Logging_1435/fåglar/A 45388-2019 prioriterade fågelarter.docx", "A 45388-2019")</f>
        <v/>
      </c>
    </row>
    <row r="10" ht="15" customHeight="1">
      <c r="A10" t="inlineStr">
        <is>
          <t>A 1293-2021</t>
        </is>
      </c>
      <c r="B10" s="1" t="n">
        <v>44208</v>
      </c>
      <c r="C10" s="1" t="n">
        <v>45566</v>
      </c>
      <c r="D10" t="inlineStr">
        <is>
          <t>VÄSTRA GÖTALANDS LÄN</t>
        </is>
      </c>
      <c r="E10" t="inlineStr">
        <is>
          <t>TANUM</t>
        </is>
      </c>
      <c r="G10" t="n">
        <v>2.5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Tretåig hackspett
Vedskivlav
Klippfrullania</t>
        </is>
      </c>
      <c r="S10">
        <f>HYPERLINK("https://klasma.github.io/Logging_1435/artfynd/A 1293-2021 artfynd.xlsx", "A 1293-2021")</f>
        <v/>
      </c>
      <c r="T10">
        <f>HYPERLINK("https://klasma.github.io/Logging_1435/kartor/A 1293-2021 karta.png", "A 1293-2021")</f>
        <v/>
      </c>
      <c r="U10">
        <f>HYPERLINK("https://klasma.github.io/Logging_1435/knärot/A 1293-2021 karta knärot.png", "A 1293-2021")</f>
        <v/>
      </c>
      <c r="V10">
        <f>HYPERLINK("https://klasma.github.io/Logging_1435/klagomål/A 1293-2021 FSC-klagomål.docx", "A 1293-2021")</f>
        <v/>
      </c>
      <c r="W10">
        <f>HYPERLINK("https://klasma.github.io/Logging_1435/klagomålsmail/A 1293-2021 FSC-klagomål mail.docx", "A 1293-2021")</f>
        <v/>
      </c>
      <c r="X10">
        <f>HYPERLINK("https://klasma.github.io/Logging_1435/tillsyn/A 1293-2021 tillsynsbegäran.docx", "A 1293-2021")</f>
        <v/>
      </c>
      <c r="Y10">
        <f>HYPERLINK("https://klasma.github.io/Logging_1435/tillsynsmail/A 1293-2021 tillsynsbegäran mail.docx", "A 1293-2021")</f>
        <v/>
      </c>
      <c r="Z10">
        <f>HYPERLINK("https://klasma.github.io/Logging_1435/fåglar/A 1293-2021 prioriterade fågelarter.docx", "A 1293-2021")</f>
        <v/>
      </c>
    </row>
    <row r="11" ht="15" customHeight="1">
      <c r="A11" t="inlineStr">
        <is>
          <t>A 12671-2023</t>
        </is>
      </c>
      <c r="B11" s="1" t="n">
        <v>45000</v>
      </c>
      <c r="C11" s="1" t="n">
        <v>45566</v>
      </c>
      <c r="D11" t="inlineStr">
        <is>
          <t>VÄSTRA GÖTALANDS LÄN</t>
        </is>
      </c>
      <c r="E11" t="inlineStr">
        <is>
          <t>TANUM</t>
        </is>
      </c>
      <c r="G11" t="n">
        <v>3.7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Spillkråka
Talltita
Tretåig hackspett
Västlig hakmossa
Revlummer</t>
        </is>
      </c>
      <c r="S11">
        <f>HYPERLINK("https://klasma.github.io/Logging_1435/artfynd/A 12671-2023 artfynd.xlsx", "A 12671-2023")</f>
        <v/>
      </c>
      <c r="T11">
        <f>HYPERLINK("https://klasma.github.io/Logging_1435/kartor/A 12671-2023 karta.png", "A 12671-2023")</f>
        <v/>
      </c>
      <c r="V11">
        <f>HYPERLINK("https://klasma.github.io/Logging_1435/klagomål/A 12671-2023 FSC-klagomål.docx", "A 12671-2023")</f>
        <v/>
      </c>
      <c r="W11">
        <f>HYPERLINK("https://klasma.github.io/Logging_1435/klagomålsmail/A 12671-2023 FSC-klagomål mail.docx", "A 12671-2023")</f>
        <v/>
      </c>
      <c r="X11">
        <f>HYPERLINK("https://klasma.github.io/Logging_1435/tillsyn/A 12671-2023 tillsynsbegäran.docx", "A 12671-2023")</f>
        <v/>
      </c>
      <c r="Y11">
        <f>HYPERLINK("https://klasma.github.io/Logging_1435/tillsynsmail/A 12671-2023 tillsynsbegäran mail.docx", "A 12671-2023")</f>
        <v/>
      </c>
      <c r="Z11">
        <f>HYPERLINK("https://klasma.github.io/Logging_1435/fåglar/A 12671-2023 prioriterade fågelarter.docx", "A 12671-2023")</f>
        <v/>
      </c>
    </row>
    <row r="12" ht="15" customHeight="1">
      <c r="A12" t="inlineStr">
        <is>
          <t>A 42309-2019</t>
        </is>
      </c>
      <c r="B12" s="1" t="n">
        <v>43698</v>
      </c>
      <c r="C12" s="1" t="n">
        <v>45566</v>
      </c>
      <c r="D12" t="inlineStr">
        <is>
          <t>VÄSTRA GÖTALANDS LÄN</t>
        </is>
      </c>
      <c r="E12" t="inlineStr">
        <is>
          <t>TANUM</t>
        </is>
      </c>
      <c r="F12" t="inlineStr">
        <is>
          <t>Kyrkan</t>
        </is>
      </c>
      <c r="G12" t="n">
        <v>4.1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Kilporing
Stenfalk
Tretåig hackspett
Vedskivlav</t>
        </is>
      </c>
      <c r="S12">
        <f>HYPERLINK("https://klasma.github.io/Logging_1435/artfynd/A 42309-2019 artfynd.xlsx", "A 42309-2019")</f>
        <v/>
      </c>
      <c r="T12">
        <f>HYPERLINK("https://klasma.github.io/Logging_1435/kartor/A 42309-2019 karta.png", "A 42309-2019")</f>
        <v/>
      </c>
      <c r="V12">
        <f>HYPERLINK("https://klasma.github.io/Logging_1435/klagomål/A 42309-2019 FSC-klagomål.docx", "A 42309-2019")</f>
        <v/>
      </c>
      <c r="W12">
        <f>HYPERLINK("https://klasma.github.io/Logging_1435/klagomålsmail/A 42309-2019 FSC-klagomål mail.docx", "A 42309-2019")</f>
        <v/>
      </c>
      <c r="X12">
        <f>HYPERLINK("https://klasma.github.io/Logging_1435/tillsyn/A 42309-2019 tillsynsbegäran.docx", "A 42309-2019")</f>
        <v/>
      </c>
      <c r="Y12">
        <f>HYPERLINK("https://klasma.github.io/Logging_1435/tillsynsmail/A 42309-2019 tillsynsbegäran mail.docx", "A 42309-2019")</f>
        <v/>
      </c>
      <c r="Z12">
        <f>HYPERLINK("https://klasma.github.io/Logging_1435/fåglar/A 42309-2019 prioriterade fågelarter.docx", "A 42309-2019")</f>
        <v/>
      </c>
    </row>
    <row r="13" ht="15" customHeight="1">
      <c r="A13" t="inlineStr">
        <is>
          <t>A 7577-2021</t>
        </is>
      </c>
      <c r="B13" s="1" t="n">
        <v>44240</v>
      </c>
      <c r="C13" s="1" t="n">
        <v>45566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Dropptaggsvamp
Mindre märgborre</t>
        </is>
      </c>
      <c r="S13">
        <f>HYPERLINK("https://klasma.github.io/Logging_1435/artfynd/A 7577-2021 artfynd.xlsx", "A 7577-2021")</f>
        <v/>
      </c>
      <c r="T13">
        <f>HYPERLINK("https://klasma.github.io/Logging_1435/kartor/A 7577-2021 karta.png", "A 7577-2021")</f>
        <v/>
      </c>
      <c r="V13">
        <f>HYPERLINK("https://klasma.github.io/Logging_1435/klagomål/A 7577-2021 FSC-klagomål.docx", "A 7577-2021")</f>
        <v/>
      </c>
      <c r="W13">
        <f>HYPERLINK("https://klasma.github.io/Logging_1435/klagomålsmail/A 7577-2021 FSC-klagomål mail.docx", "A 7577-2021")</f>
        <v/>
      </c>
      <c r="X13">
        <f>HYPERLINK("https://klasma.github.io/Logging_1435/tillsyn/A 7577-2021 tillsynsbegäran.docx", "A 7577-2021")</f>
        <v/>
      </c>
      <c r="Y13">
        <f>HYPERLINK("https://klasma.github.io/Logging_1435/tillsynsmail/A 7577-2021 tillsynsbegäran mail.docx", "A 7577-2021")</f>
        <v/>
      </c>
      <c r="Z13">
        <f>HYPERLINK("https://klasma.github.io/Logging_1435/fåglar/A 7577-2021 prioriterade fågelarter.docx", "A 7577-2021")</f>
        <v/>
      </c>
    </row>
    <row r="14" ht="15" customHeight="1">
      <c r="A14" t="inlineStr">
        <is>
          <t>A 63367-2021</t>
        </is>
      </c>
      <c r="B14" s="1" t="n">
        <v>44506</v>
      </c>
      <c r="C14" s="1" t="n">
        <v>45566</v>
      </c>
      <c r="D14" t="inlineStr">
        <is>
          <t>VÄSTRA GÖTALANDS LÄN</t>
        </is>
      </c>
      <c r="E14" t="inlineStr">
        <is>
          <t>TANUM</t>
        </is>
      </c>
      <c r="G14" t="n">
        <v>1.7</v>
      </c>
      <c r="H14" t="n">
        <v>4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Grönsångare
Gulsparv
Kråka
Talltita</t>
        </is>
      </c>
      <c r="S14">
        <f>HYPERLINK("https://klasma.github.io/Logging_1435/artfynd/A 63367-2021 artfynd.xlsx", "A 63367-2021")</f>
        <v/>
      </c>
      <c r="T14">
        <f>HYPERLINK("https://klasma.github.io/Logging_1435/kartor/A 63367-2021 karta.png", "A 63367-2021")</f>
        <v/>
      </c>
      <c r="V14">
        <f>HYPERLINK("https://klasma.github.io/Logging_1435/klagomål/A 63367-2021 FSC-klagomål.docx", "A 63367-2021")</f>
        <v/>
      </c>
      <c r="W14">
        <f>HYPERLINK("https://klasma.github.io/Logging_1435/klagomålsmail/A 63367-2021 FSC-klagomål mail.docx", "A 63367-2021")</f>
        <v/>
      </c>
      <c r="X14">
        <f>HYPERLINK("https://klasma.github.io/Logging_1435/tillsyn/A 63367-2021 tillsynsbegäran.docx", "A 63367-2021")</f>
        <v/>
      </c>
      <c r="Y14">
        <f>HYPERLINK("https://klasma.github.io/Logging_1435/tillsynsmail/A 63367-2021 tillsynsbegäran mail.docx", "A 63367-2021")</f>
        <v/>
      </c>
      <c r="Z14">
        <f>HYPERLINK("https://klasma.github.io/Logging_1435/fåglar/A 63367-2021 prioriterade fågelarter.docx", "A 63367-2021")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45566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13950-2023</t>
        </is>
      </c>
      <c r="B16" s="1" t="n">
        <v>45008</v>
      </c>
      <c r="C16" s="1" t="n">
        <v>45566</v>
      </c>
      <c r="D16" t="inlineStr">
        <is>
          <t>VÄSTRA GÖTALANDS LÄN</t>
        </is>
      </c>
      <c r="E16" t="inlineStr">
        <is>
          <t>TANUM</t>
        </is>
      </c>
      <c r="G16" t="n">
        <v>6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Tretåig hackspett
Blåmossa
Dropptaggsvamp</t>
        </is>
      </c>
      <c r="S16">
        <f>HYPERLINK("https://klasma.github.io/Logging_1435/artfynd/A 13950-2023 artfynd.xlsx", "A 13950-2023")</f>
        <v/>
      </c>
      <c r="T16">
        <f>HYPERLINK("https://klasma.github.io/Logging_1435/kartor/A 13950-2023 karta.png", "A 13950-2023")</f>
        <v/>
      </c>
      <c r="V16">
        <f>HYPERLINK("https://klasma.github.io/Logging_1435/klagomål/A 13950-2023 FSC-klagomål.docx", "A 13950-2023")</f>
        <v/>
      </c>
      <c r="W16">
        <f>HYPERLINK("https://klasma.github.io/Logging_1435/klagomålsmail/A 13950-2023 FSC-klagomål mail.docx", "A 13950-2023")</f>
        <v/>
      </c>
      <c r="X16">
        <f>HYPERLINK("https://klasma.github.io/Logging_1435/tillsyn/A 13950-2023 tillsynsbegäran.docx", "A 13950-2023")</f>
        <v/>
      </c>
      <c r="Y16">
        <f>HYPERLINK("https://klasma.github.io/Logging_1435/tillsynsmail/A 13950-2023 tillsynsbegäran mail.docx", "A 13950-2023")</f>
        <v/>
      </c>
      <c r="Z16">
        <f>HYPERLINK("https://klasma.github.io/Logging_1435/fåglar/A 13950-2023 prioriterade fågelarter.docx", "A 13950-2023")</f>
        <v/>
      </c>
    </row>
    <row r="17" ht="15" customHeight="1">
      <c r="A17" t="inlineStr">
        <is>
          <t>A 13943-2023</t>
        </is>
      </c>
      <c r="B17" s="1" t="n">
        <v>45008</v>
      </c>
      <c r="C17" s="1" t="n">
        <v>45566</v>
      </c>
      <c r="D17" t="inlineStr">
        <is>
          <t>VÄSTRA GÖTALANDS LÄN</t>
        </is>
      </c>
      <c r="E17" t="inlineStr">
        <is>
          <t>TANUM</t>
        </is>
      </c>
      <c r="G17" t="n">
        <v>3.5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Vedskivlav
Blåmossa
Revlummer</t>
        </is>
      </c>
      <c r="S17">
        <f>HYPERLINK("https://klasma.github.io/Logging_1435/artfynd/A 13943-2023 artfynd.xlsx", "A 13943-2023")</f>
        <v/>
      </c>
      <c r="T17">
        <f>HYPERLINK("https://klasma.github.io/Logging_1435/kartor/A 13943-2023 karta.png", "A 13943-2023")</f>
        <v/>
      </c>
      <c r="V17">
        <f>HYPERLINK("https://klasma.github.io/Logging_1435/klagomål/A 13943-2023 FSC-klagomål.docx", "A 13943-2023")</f>
        <v/>
      </c>
      <c r="W17">
        <f>HYPERLINK("https://klasma.github.io/Logging_1435/klagomålsmail/A 13943-2023 FSC-klagomål mail.docx", "A 13943-2023")</f>
        <v/>
      </c>
      <c r="X17">
        <f>HYPERLINK("https://klasma.github.io/Logging_1435/tillsyn/A 13943-2023 tillsynsbegäran.docx", "A 13943-2023")</f>
        <v/>
      </c>
      <c r="Y17">
        <f>HYPERLINK("https://klasma.github.io/Logging_1435/tillsynsmail/A 13943-2023 tillsynsbegäran mail.docx", "A 13943-2023")</f>
        <v/>
      </c>
      <c r="Z17">
        <f>HYPERLINK("https://klasma.github.io/Logging_1435/fåglar/A 13943-2023 prioriterade fågelarter.docx", "A 13943-2023")</f>
        <v/>
      </c>
    </row>
    <row r="18" ht="15" customHeight="1">
      <c r="A18" t="inlineStr">
        <is>
          <t>A 48725-2023</t>
        </is>
      </c>
      <c r="B18" s="1" t="n">
        <v>45203</v>
      </c>
      <c r="C18" s="1" t="n">
        <v>45566</v>
      </c>
      <c r="D18" t="inlineStr">
        <is>
          <t>VÄSTRA GÖTALANDS LÄN</t>
        </is>
      </c>
      <c r="E18" t="inlineStr">
        <is>
          <t>TANUM</t>
        </is>
      </c>
      <c r="G18" t="n">
        <v>6.4</v>
      </c>
      <c r="H18" t="n">
        <v>0</v>
      </c>
      <c r="I18" t="n">
        <v>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Guldlockmossa
Slanklav
Trädporella</t>
        </is>
      </c>
      <c r="S18">
        <f>HYPERLINK("https://klasma.github.io/Logging_1435/artfynd/A 48725-2023 artfynd.xlsx", "A 48725-2023")</f>
        <v/>
      </c>
      <c r="T18">
        <f>HYPERLINK("https://klasma.github.io/Logging_1435/kartor/A 48725-2023 karta.png", "A 48725-2023")</f>
        <v/>
      </c>
      <c r="V18">
        <f>HYPERLINK("https://klasma.github.io/Logging_1435/klagomål/A 48725-2023 FSC-klagomål.docx", "A 48725-2023")</f>
        <v/>
      </c>
      <c r="W18">
        <f>HYPERLINK("https://klasma.github.io/Logging_1435/klagomålsmail/A 48725-2023 FSC-klagomål mail.docx", "A 48725-2023")</f>
        <v/>
      </c>
      <c r="X18">
        <f>HYPERLINK("https://klasma.github.io/Logging_1435/tillsyn/A 48725-2023 tillsynsbegäran.docx", "A 48725-2023")</f>
        <v/>
      </c>
      <c r="Y18">
        <f>HYPERLINK("https://klasma.github.io/Logging_1435/tillsynsmail/A 48725-2023 tillsynsbegäran mail.docx", "A 48725-2023")</f>
        <v/>
      </c>
    </row>
    <row r="19" ht="15" customHeight="1">
      <c r="A19" t="inlineStr">
        <is>
          <t>A 37930-2023</t>
        </is>
      </c>
      <c r="B19" s="1" t="n">
        <v>45160</v>
      </c>
      <c r="C19" s="1" t="n">
        <v>45566</v>
      </c>
      <c r="D19" t="inlineStr">
        <is>
          <t>VÄSTRA GÖTALANDS LÄN</t>
        </is>
      </c>
      <c r="E19" t="inlineStr">
        <is>
          <t>TANUM</t>
        </is>
      </c>
      <c r="G19" t="n">
        <v>5.2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Dofttaggsvamp
Orange taggsvamp
Skarp dropptaggsvamp</t>
        </is>
      </c>
      <c r="S19">
        <f>HYPERLINK("https://klasma.github.io/Logging_1435/artfynd/A 37930-2023 artfynd.xlsx", "A 37930-2023")</f>
        <v/>
      </c>
      <c r="T19">
        <f>HYPERLINK("https://klasma.github.io/Logging_1435/kartor/A 37930-2023 karta.png", "A 37930-2023")</f>
        <v/>
      </c>
      <c r="V19">
        <f>HYPERLINK("https://klasma.github.io/Logging_1435/klagomål/A 37930-2023 FSC-klagomål.docx", "A 37930-2023")</f>
        <v/>
      </c>
      <c r="W19">
        <f>HYPERLINK("https://klasma.github.io/Logging_1435/klagomålsmail/A 37930-2023 FSC-klagomål mail.docx", "A 37930-2023")</f>
        <v/>
      </c>
      <c r="X19">
        <f>HYPERLINK("https://klasma.github.io/Logging_1435/tillsyn/A 37930-2023 tillsynsbegäran.docx", "A 37930-2023")</f>
        <v/>
      </c>
      <c r="Y19">
        <f>HYPERLINK("https://klasma.github.io/Logging_1435/tillsynsmail/A 37930-2023 tillsynsbegäran mail.docx", "A 37930-2023")</f>
        <v/>
      </c>
    </row>
    <row r="20" ht="15" customHeight="1">
      <c r="A20" t="inlineStr">
        <is>
          <t>A 9953-2020</t>
        </is>
      </c>
      <c r="B20" s="1" t="n">
        <v>43882</v>
      </c>
      <c r="C20" s="1" t="n">
        <v>45566</v>
      </c>
      <c r="D20" t="inlineStr">
        <is>
          <t>VÄSTRA GÖTALANDS LÄN</t>
        </is>
      </c>
      <c r="E20" t="inlineStr">
        <is>
          <t>TANUM</t>
        </is>
      </c>
      <c r="G20" t="n">
        <v>25.5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HYPERLINK("https://klasma.github.io/Logging_1435/artfynd/A 9953-2020 artfynd.xlsx", "A 9953-2020")</f>
        <v/>
      </c>
      <c r="T20">
        <f>HYPERLINK("https://klasma.github.io/Logging_1435/kartor/A 9953-2020 karta.png", "A 9953-2020")</f>
        <v/>
      </c>
      <c r="V20">
        <f>HYPERLINK("https://klasma.github.io/Logging_1435/klagomål/A 9953-2020 FSC-klagomål.docx", "A 9953-2020")</f>
        <v/>
      </c>
      <c r="W20">
        <f>HYPERLINK("https://klasma.github.io/Logging_1435/klagomålsmail/A 9953-2020 FSC-klagomål mail.docx", "A 9953-2020")</f>
        <v/>
      </c>
      <c r="X20">
        <f>HYPERLINK("https://klasma.github.io/Logging_1435/tillsyn/A 9953-2020 tillsynsbegäran.docx", "A 9953-2020")</f>
        <v/>
      </c>
      <c r="Y20">
        <f>HYPERLINK("https://klasma.github.io/Logging_1435/tillsynsmail/A 9953-2020 tillsynsbegäran mail.docx", "A 9953-2020")</f>
        <v/>
      </c>
    </row>
    <row r="21" ht="15" customHeight="1">
      <c r="A21" t="inlineStr">
        <is>
          <t>A 30704-2020</t>
        </is>
      </c>
      <c r="B21" s="1" t="n">
        <v>44007</v>
      </c>
      <c r="C21" s="1" t="n">
        <v>45566</v>
      </c>
      <c r="D21" t="inlineStr">
        <is>
          <t>VÄSTRA GÖTALANDS LÄN</t>
        </is>
      </c>
      <c r="E21" t="inlineStr">
        <is>
          <t>TANUM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HYPERLINK("https://klasma.github.io/Logging_1435/artfynd/A 30704-2020 artfynd.xlsx", "A 30704-2020")</f>
        <v/>
      </c>
      <c r="T21">
        <f>HYPERLINK("https://klasma.github.io/Logging_1435/kartor/A 30704-2020 karta.png", "A 30704-2020")</f>
        <v/>
      </c>
      <c r="V21">
        <f>HYPERLINK("https://klasma.github.io/Logging_1435/klagomål/A 30704-2020 FSC-klagomål.docx", "A 30704-2020")</f>
        <v/>
      </c>
      <c r="W21">
        <f>HYPERLINK("https://klasma.github.io/Logging_1435/klagomålsmail/A 30704-2020 FSC-klagomål mail.docx", "A 30704-2020")</f>
        <v/>
      </c>
      <c r="X21">
        <f>HYPERLINK("https://klasma.github.io/Logging_1435/tillsyn/A 30704-2020 tillsynsbegäran.docx", "A 30704-2020")</f>
        <v/>
      </c>
      <c r="Y21">
        <f>HYPERLINK("https://klasma.github.io/Logging_1435/tillsynsmail/A 30704-2020 tillsynsbegäran mail.docx", "A 30704-2020")</f>
        <v/>
      </c>
    </row>
    <row r="22" ht="15" customHeight="1">
      <c r="A22" t="inlineStr">
        <is>
          <t>A 13274-2022</t>
        </is>
      </c>
      <c r="B22" s="1" t="n">
        <v>44644</v>
      </c>
      <c r="C22" s="1" t="n">
        <v>45566</v>
      </c>
      <c r="D22" t="inlineStr">
        <is>
          <t>VÄSTRA GÖTALANDS LÄN</t>
        </is>
      </c>
      <c r="E22" t="inlineStr">
        <is>
          <t>TANUM</t>
        </is>
      </c>
      <c r="G22" t="n">
        <v>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HYPERLINK("https://klasma.github.io/Logging_1435/artfynd/A 13274-2022 artfynd.xlsx", "A 13274-2022")</f>
        <v/>
      </c>
      <c r="T22">
        <f>HYPERLINK("https://klasma.github.io/Logging_1435/kartor/A 13274-2022 karta.png", "A 13274-2022")</f>
        <v/>
      </c>
      <c r="V22">
        <f>HYPERLINK("https://klasma.github.io/Logging_1435/klagomål/A 13274-2022 FSC-klagomål.docx", "A 13274-2022")</f>
        <v/>
      </c>
      <c r="W22">
        <f>HYPERLINK("https://klasma.github.io/Logging_1435/klagomålsmail/A 13274-2022 FSC-klagomål mail.docx", "A 13274-2022")</f>
        <v/>
      </c>
      <c r="X22">
        <f>HYPERLINK("https://klasma.github.io/Logging_1435/tillsyn/A 13274-2022 tillsynsbegäran.docx", "A 13274-2022")</f>
        <v/>
      </c>
      <c r="Y22">
        <f>HYPERLINK("https://klasma.github.io/Logging_1435/tillsynsmail/A 13274-2022 tillsynsbegäran mail.docx", "A 13274-2022")</f>
        <v/>
      </c>
    </row>
    <row r="23" ht="15" customHeight="1">
      <c r="A23" t="inlineStr">
        <is>
          <t>A 51267-2022</t>
        </is>
      </c>
      <c r="B23" s="1" t="n">
        <v>44868</v>
      </c>
      <c r="C23" s="1" t="n">
        <v>45566</v>
      </c>
      <c r="D23" t="inlineStr">
        <is>
          <t>VÄSTRA GÖTALANDS LÄN</t>
        </is>
      </c>
      <c r="E23" t="inlineStr">
        <is>
          <t>TANUM</t>
        </is>
      </c>
      <c r="G23" t="n">
        <v>9.800000000000001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Lopplummer</t>
        </is>
      </c>
      <c r="S23">
        <f>HYPERLINK("https://klasma.github.io/Logging_1435/artfynd/A 51267-2022 artfynd.xlsx", "A 51267-2022")</f>
        <v/>
      </c>
      <c r="T23">
        <f>HYPERLINK("https://klasma.github.io/Logging_1435/kartor/A 51267-2022 karta.png", "A 51267-2022")</f>
        <v/>
      </c>
      <c r="V23">
        <f>HYPERLINK("https://klasma.github.io/Logging_1435/klagomål/A 51267-2022 FSC-klagomål.docx", "A 51267-2022")</f>
        <v/>
      </c>
      <c r="W23">
        <f>HYPERLINK("https://klasma.github.io/Logging_1435/klagomålsmail/A 51267-2022 FSC-klagomål mail.docx", "A 51267-2022")</f>
        <v/>
      </c>
      <c r="X23">
        <f>HYPERLINK("https://klasma.github.io/Logging_1435/tillsyn/A 51267-2022 tillsynsbegäran.docx", "A 51267-2022")</f>
        <v/>
      </c>
      <c r="Y23">
        <f>HYPERLINK("https://klasma.github.io/Logging_1435/tillsynsmail/A 51267-2022 tillsynsbegäran mail.docx", "A 51267-2022")</f>
        <v/>
      </c>
    </row>
    <row r="24" ht="15" customHeight="1">
      <c r="A24" t="inlineStr">
        <is>
          <t>A 13936-2023</t>
        </is>
      </c>
      <c r="B24" s="1" t="n">
        <v>45008</v>
      </c>
      <c r="C24" s="1" t="n">
        <v>45566</v>
      </c>
      <c r="D24" t="inlineStr">
        <is>
          <t>VÄSTRA GÖTALANDS LÄN</t>
        </is>
      </c>
      <c r="E24" t="inlineStr">
        <is>
          <t>TANUM</t>
        </is>
      </c>
      <c r="G24" t="n">
        <v>3.5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Skrovellav
Spillkråka</t>
        </is>
      </c>
      <c r="S24">
        <f>HYPERLINK("https://klasma.github.io/Logging_1435/artfynd/A 13936-2023 artfynd.xlsx", "A 13936-2023")</f>
        <v/>
      </c>
      <c r="T24">
        <f>HYPERLINK("https://klasma.github.io/Logging_1435/kartor/A 13936-2023 karta.png", "A 13936-2023")</f>
        <v/>
      </c>
      <c r="V24">
        <f>HYPERLINK("https://klasma.github.io/Logging_1435/klagomål/A 13936-2023 FSC-klagomål.docx", "A 13936-2023")</f>
        <v/>
      </c>
      <c r="W24">
        <f>HYPERLINK("https://klasma.github.io/Logging_1435/klagomålsmail/A 13936-2023 FSC-klagomål mail.docx", "A 13936-2023")</f>
        <v/>
      </c>
      <c r="X24">
        <f>HYPERLINK("https://klasma.github.io/Logging_1435/tillsyn/A 13936-2023 tillsynsbegäran.docx", "A 13936-2023")</f>
        <v/>
      </c>
      <c r="Y24">
        <f>HYPERLINK("https://klasma.github.io/Logging_1435/tillsynsmail/A 13936-2023 tillsynsbegäran mail.docx", "A 13936-2023")</f>
        <v/>
      </c>
      <c r="Z24">
        <f>HYPERLINK("https://klasma.github.io/Logging_1435/fåglar/A 13936-2023 prioriterade fågelarter.docx", "A 13936-2023")</f>
        <v/>
      </c>
    </row>
    <row r="25" ht="15" customHeight="1">
      <c r="A25" t="inlineStr">
        <is>
          <t>A 46044-2023</t>
        </is>
      </c>
      <c r="B25" s="1" t="n">
        <v>45196</v>
      </c>
      <c r="C25" s="1" t="n">
        <v>45566</v>
      </c>
      <c r="D25" t="inlineStr">
        <is>
          <t>VÄSTRA GÖTALANDS LÄN</t>
        </is>
      </c>
      <c r="E25" t="inlineStr">
        <is>
          <t>TANUM</t>
        </is>
      </c>
      <c r="G25" t="n">
        <v>33.6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Korallblylav
Orre</t>
        </is>
      </c>
      <c r="S25">
        <f>HYPERLINK("https://klasma.github.io/Logging_1435/artfynd/A 46044-2023 artfynd.xlsx", "A 46044-2023")</f>
        <v/>
      </c>
      <c r="T25">
        <f>HYPERLINK("https://klasma.github.io/Logging_1435/kartor/A 46044-2023 karta.png", "A 46044-2023")</f>
        <v/>
      </c>
      <c r="V25">
        <f>HYPERLINK("https://klasma.github.io/Logging_1435/klagomål/A 46044-2023 FSC-klagomål.docx", "A 46044-2023")</f>
        <v/>
      </c>
      <c r="W25">
        <f>HYPERLINK("https://klasma.github.io/Logging_1435/klagomålsmail/A 46044-2023 FSC-klagomål mail.docx", "A 46044-2023")</f>
        <v/>
      </c>
      <c r="X25">
        <f>HYPERLINK("https://klasma.github.io/Logging_1435/tillsyn/A 46044-2023 tillsynsbegäran.docx", "A 46044-2023")</f>
        <v/>
      </c>
      <c r="Y25">
        <f>HYPERLINK("https://klasma.github.io/Logging_1435/tillsynsmail/A 46044-2023 tillsynsbegäran mail.docx", "A 46044-2023")</f>
        <v/>
      </c>
      <c r="Z25">
        <f>HYPERLINK("https://klasma.github.io/Logging_1435/fåglar/A 46044-2023 prioriterade fågelarter.docx", "A 46044-2023")</f>
        <v/>
      </c>
    </row>
    <row r="26" ht="15" customHeight="1">
      <c r="A26" t="inlineStr">
        <is>
          <t>A 63439-2023</t>
        </is>
      </c>
      <c r="B26" s="1" t="n">
        <v>45274</v>
      </c>
      <c r="C26" s="1" t="n">
        <v>45566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Lopplummer
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45566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35310-2024</t>
        </is>
      </c>
      <c r="B28" s="1" t="n">
        <v>45530</v>
      </c>
      <c r="C28" s="1" t="n">
        <v>45566</v>
      </c>
      <c r="D28" t="inlineStr">
        <is>
          <t>VÄSTRA GÖTALANDS LÄN</t>
        </is>
      </c>
      <c r="E28" t="inlineStr">
        <is>
          <t>TANUM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Stor revmossa
Tjäder</t>
        </is>
      </c>
      <c r="S28">
        <f>HYPERLINK("https://klasma.github.io/Logging_1435/artfynd/A 35310-2024 artfynd.xlsx", "A 35310-2024")</f>
        <v/>
      </c>
      <c r="T28">
        <f>HYPERLINK("https://klasma.github.io/Logging_1435/kartor/A 35310-2024 karta.png", "A 35310-2024")</f>
        <v/>
      </c>
      <c r="V28">
        <f>HYPERLINK("https://klasma.github.io/Logging_1435/klagomål/A 35310-2024 FSC-klagomål.docx", "A 35310-2024")</f>
        <v/>
      </c>
      <c r="W28">
        <f>HYPERLINK("https://klasma.github.io/Logging_1435/klagomålsmail/A 35310-2024 FSC-klagomål mail.docx", "A 35310-2024")</f>
        <v/>
      </c>
      <c r="X28">
        <f>HYPERLINK("https://klasma.github.io/Logging_1435/tillsyn/A 35310-2024 tillsynsbegäran.docx", "A 35310-2024")</f>
        <v/>
      </c>
      <c r="Y28">
        <f>HYPERLINK("https://klasma.github.io/Logging_1435/tillsynsmail/A 35310-2024 tillsynsbegäran mail.docx", "A 35310-2024")</f>
        <v/>
      </c>
      <c r="Z28">
        <f>HYPERLINK("https://klasma.github.io/Logging_1435/fåglar/A 35310-2024 prioriterade fågelarter.docx", "A 35310-2024")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45566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45566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45566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45566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45566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45566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45566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45566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45566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45566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45566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45566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45566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45566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45566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45566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45566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45566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45566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45566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45566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45566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45566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45566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45566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45566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45566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45566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45566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45566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45566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45566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45566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45566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45566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45566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45566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45566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45566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45566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45566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45566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45566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45566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45566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45566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45566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45566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45566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45566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45566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45566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45566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45566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45566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45566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45566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45566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45566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45566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45566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45566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45566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45566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45566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45566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45566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45566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45566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45566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45566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45566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45566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45566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45566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45566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45566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45566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45566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45566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45566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45566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45566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45566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45566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45566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45566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45566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45566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45566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45566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45566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45566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45566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45566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45566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45566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45566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45566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45566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45566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45566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45566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45566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45566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45566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45566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45566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45566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45566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45566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45566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45566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45566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45566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45566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45566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45566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45566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45566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45566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45566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45566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45566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45566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45566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45566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45566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45566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45566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45566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45566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45566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45566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45566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45566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45566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45566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45566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45566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45566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45566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45566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45566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45566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45566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45566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45566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45566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45566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45566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45566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45566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45566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45566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45566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45566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45566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45566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45566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45566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45566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45566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45566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45566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45566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45566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45566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45566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45566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45566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45566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45566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45566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45566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45566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45566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45566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45566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45566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45566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45566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45566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45566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45566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45566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45566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45566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45566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45566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45566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45566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45566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45566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45566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45566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45566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45566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45566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45566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45566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45566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45566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45566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45566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45566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45566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45566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45566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45566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45566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45566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45566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45566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45566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45566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45566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45566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45566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45566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45566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45566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45566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45566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45566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45566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45566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45566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45566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45566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45566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45566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45566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45566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45566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45566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45566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45566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45566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45566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45566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45566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45566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45566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45566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45566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45566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45566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45566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45566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45566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45566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45566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45566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45566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45566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45566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45566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45566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45566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45566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45566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45566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45566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45566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45566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45566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45566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45566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45566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45566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45566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45566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45566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45566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45566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45566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45566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45566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45566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45566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45566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45566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45566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45566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45566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45566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45566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45566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45566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45566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45566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45566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45566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45566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45566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45566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45566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45566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45566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45566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45566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45566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45566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45566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45566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45566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45566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45566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45566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45566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45566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45566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45566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45566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45566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45566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45566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45566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45566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45566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45566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45566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45566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45566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45566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45566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45566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45566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45566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45566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45566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45566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45566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45566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45566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45566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45566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45566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45566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45566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45566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45566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45566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45566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45566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45566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45566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45566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45566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45566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45566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45566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45566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45566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45566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45566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45566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45566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45566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45566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45566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45566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45566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45566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45566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45566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45566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45566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45566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45566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45566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45566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45566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45566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45566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45566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45566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45566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45566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45566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45566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45566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45566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45566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45566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45566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45566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45566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45566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45566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45566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45566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45566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45566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45566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45566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45566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45566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45566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45566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45566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45566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45566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45566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45566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45566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45566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45566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45566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45566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45566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45566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45566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45566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45566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45566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45566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45566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45566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45566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45566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45566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45566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45566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45566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45566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45566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45566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45566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45566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45566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45566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45566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45566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45566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45566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45566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45566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45566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45566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45566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45566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45566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45566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45566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45566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45566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45566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45566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45566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45566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45566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45566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45566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45566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45566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45566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45566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45566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45566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45566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45566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45566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45566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45566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45566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45566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45566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45566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45566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45566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45566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45566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45566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45566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45566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45566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45566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45566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45566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45566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45566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45566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45566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45566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45566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45566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45566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45566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45566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45566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45566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45566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45566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45566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45566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45566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45566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45566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45566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45566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45566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45566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45566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45566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45566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45566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45566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45566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45566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45566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45566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45566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45566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45566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45566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45566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45566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45566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45566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45566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45566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45566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45566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45566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45566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45566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45566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45566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45566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45566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45566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45566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45566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45566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45566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45566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45566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45566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45566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45566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45566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45566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45566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45566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45566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45566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45566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45566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45566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45566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45566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45566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45566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45566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45566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45566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45566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45566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45566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45566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45566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45566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45566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45566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45566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45566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45566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45566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45566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45566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45566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45566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45566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45566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45566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45566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45566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45566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45566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45566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45566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45566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45566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45566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45566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45566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45566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45566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45566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45566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45566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45566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45566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45566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45566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45566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45566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45566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45566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45566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45566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45566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45566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45566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45566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45566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45566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45566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45566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45566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45566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45566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45566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45566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45566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45566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45566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45566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45566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45566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45566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45566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45566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45566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45566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45566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45566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45566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45566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45566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45566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45566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45566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45566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45566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45566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45566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45566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45566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45566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45566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45566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45566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45566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45566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45566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45566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45566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45566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45566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45566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45566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45566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45566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45566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45566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45566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45566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45566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45566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45566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45566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45566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45566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45566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45566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45566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45566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45566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45566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45566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45566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45566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45566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45566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45566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36529-2024</t>
        </is>
      </c>
      <c r="B707" s="1" t="n">
        <v>45537</v>
      </c>
      <c r="C707" s="1" t="n">
        <v>45566</v>
      </c>
      <c r="D707" t="inlineStr">
        <is>
          <t>VÄSTRA GÖTALANDS LÄN</t>
        </is>
      </c>
      <c r="E707" t="inlineStr">
        <is>
          <t>TANUM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45566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45566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45566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45566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45566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37955-2024</t>
        </is>
      </c>
      <c r="B713" s="1" t="n">
        <v>45544</v>
      </c>
      <c r="C713" s="1" t="n">
        <v>45566</v>
      </c>
      <c r="D713" t="inlineStr">
        <is>
          <t>VÄSTRA GÖTALANDS LÄN</t>
        </is>
      </c>
      <c r="E713" t="inlineStr">
        <is>
          <t>TANUM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45566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45566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45566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45566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45566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42571-2024</t>
        </is>
      </c>
      <c r="B719" s="1" t="n">
        <v>45565</v>
      </c>
      <c r="C719" s="1" t="n">
        <v>45566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2024-10-01T12:18:35Z</dcterms:created>
  <dcterms:modified xmlns:dcterms="http://purl.org/dc/terms/" xmlns:xsi="http://www.w3.org/2001/XMLSchema-instance" xsi:type="dcterms:W3CDTF">2024-10-01T12:18:36Z</dcterms:modified>
</cp:coreProperties>
</file>