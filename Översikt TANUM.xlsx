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46314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46314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46314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46314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46314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46314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46314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46314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46314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46314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46314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46314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46314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46314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46314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46314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46314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46314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46314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20799-2026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46314</v>
      </c>
      <c r="F24" t="inlineStr">
        <is>
          <t>VÄSTRA GÖTALANDS LÄN</t>
        </is>
      </c>
      <c r="G24" t="inlineStr">
        <is>
          <t>TANUM</t>
        </is>
      </c>
      <c r="I24" t="n">
        <v>4.9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Rödgul trumpetsvamp</t>
        </is>
      </c>
      <c r="W24">
        <f>HYPERLINK("https://klasma.github.io/Logging_1435/artfynd/A 20799-2026 artfynd.xlsx", "A 20799-2026")</f>
        <v/>
      </c>
      <c r="X24">
        <f>HYPERLINK("https://klasma.github.io/Logging_1435/kartor/A 20799-2026 karta.png", "A 20799-2026")</f>
        <v/>
      </c>
      <c r="Y24">
        <f>HYPERLINK("https://klasma.github.io/Logging_1435/kartor_geotiff/A 20799-2026 georefererad karta.tif", "A 20799-2026")</f>
        <v/>
      </c>
      <c r="AA24">
        <f>HYPERLINK("https://klasma.github.io/Logging_1435/klagomål/A 20799-2026 FSC-klagomål.docx", "A 20799-2026")</f>
        <v/>
      </c>
      <c r="AB24">
        <f>HYPERLINK("https://klasma.github.io/Logging_1435/klagomålsmail/A 20799-2026 FSC-klagomål mail.docx", "A 20799-2026")</f>
        <v/>
      </c>
      <c r="AC24">
        <f>HYPERLINK("https://klasma.github.io/Logging_1435/tillsyn/A 20799-2026 tillsynsbegäran.docx", "A 20799-2026")</f>
        <v/>
      </c>
      <c r="AD24">
        <f>HYPERLINK("https://klasma.github.io/Logging_1435/tillsynsmail/A 20799-2026 tillsynsbegäran mail.docx", "A 20799-2026")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46314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46314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46314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36779-2026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46314</v>
      </c>
      <c r="F28" t="inlineStr">
        <is>
          <t>VÄSTRA GÖTALANDS LÄN</t>
        </is>
      </c>
      <c r="G28" t="inlineStr">
        <is>
          <t>TANUM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36779-2026 artfynd.xlsx", "A 36779-2026")</f>
        <v/>
      </c>
      <c r="X28">
        <f>HYPERLINK("https://klasma.github.io/Logging_1435/kartor/A 36779-2026 karta.png", "A 36779-2026")</f>
        <v/>
      </c>
      <c r="Y28">
        <f>HYPERLINK("https://klasma.github.io/Logging_1435/kartor_geotiff/A 36779-2026 georefererad karta.tif", "A 36779-2026")</f>
        <v/>
      </c>
      <c r="AA28">
        <f>HYPERLINK("https://klasma.github.io/Logging_1435/klagomål/A 36779-2026 FSC-klagomål.docx", "A 36779-2026")</f>
        <v/>
      </c>
      <c r="AB28">
        <f>HYPERLINK("https://klasma.github.io/Logging_1435/klagomålsmail/A 36779-2026 FSC-klagomål mail.docx", "A 36779-2026")</f>
        <v/>
      </c>
      <c r="AC28">
        <f>HYPERLINK("https://klasma.github.io/Logging_1435/tillsyn/A 36779-2026 tillsynsbegäran.docx", "A 36779-2026")</f>
        <v/>
      </c>
      <c r="AD28">
        <f>HYPERLINK("https://klasma.github.io/Logging_1435/tillsynsmail/A 36779-2026 tillsynsbegäran mail.docx", "A 36779-2026")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46314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46314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46314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46314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46314</v>
      </c>
      <c r="F33" t="inlineStr">
        <is>
          <t>VÄSTRA GÖTALANDS LÄN</t>
        </is>
      </c>
      <c r="G33" t="inlineStr">
        <is>
          <t>TANUM</t>
        </is>
      </c>
      <c r="I33" t="n">
        <v>33.6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Korallblylav</t>
        </is>
      </c>
      <c r="W33">
        <f>HYPERLINK("https://klasma.github.io/Logging_1435/artfynd/A 46044-2023 artfynd.xlsx", "A 46044-2023")</f>
        <v/>
      </c>
      <c r="X33">
        <f>HYPERLINK("https://klasma.github.io/Logging_1435/kartor/A 46044-2023 karta.png", "A 46044-2023")</f>
        <v/>
      </c>
      <c r="Y33">
        <f>HYPERLINK("https://klasma.github.io/Logging_1435/kartor_geotiff/A 46044-2023 georefererad karta.tif", "A 46044-2023")</f>
        <v/>
      </c>
      <c r="AA33">
        <f>HYPERLINK("https://klasma.github.io/Logging_1435/klagomål/A 46044-2023 FSC-klagomål.docx", "A 46044-2023")</f>
        <v/>
      </c>
      <c r="AB33">
        <f>HYPERLINK("https://klasma.github.io/Logging_1435/klagomålsmail/A 46044-2023 FSC-klagomål mail.docx", "A 46044-2023")</f>
        <v/>
      </c>
      <c r="AC33">
        <f>HYPERLINK("https://klasma.github.io/Logging_1435/tillsyn/A 46044-2023 tillsynsbegäran.docx", "A 46044-2023")</f>
        <v/>
      </c>
      <c r="AD33">
        <f>HYPERLINK("https://klasma.github.io/Logging_1435/tillsynsmail/A 46044-2023 tillsynsbegäran mail.docx", "A 46044-2023")</f>
        <v/>
      </c>
    </row>
    <row r="34" ht="15" customHeight="1">
      <c r="A34" t="inlineStr">
        <is>
          <t>A 19343-2025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46314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HYPERLINK("https://klasma.github.io/Logging_1435/artfynd/A 19343-2025 artfynd.xlsx", "A 19343-2025")</f>
        <v/>
      </c>
      <c r="X34">
        <f>HYPERLINK("https://klasma.github.io/Logging_1435/kartor/A 19343-2025 karta.png", "A 19343-2025")</f>
        <v/>
      </c>
      <c r="Y34">
        <f>HYPERLINK("https://klasma.github.io/Logging_1435/kartor_geotiff/A 19343-2025 georefererad karta.tif", "A 19343-2025")</f>
        <v/>
      </c>
      <c r="AA34">
        <f>HYPERLINK("https://klasma.github.io/Logging_1435/klagomål/A 19343-2025 FSC-klagomål.docx", "A 19343-2025")</f>
        <v/>
      </c>
      <c r="AB34">
        <f>HYPERLINK("https://klasma.github.io/Logging_1435/klagomålsmail/A 19343-2025 FSC-klagomål mail.docx", "A 19343-2025")</f>
        <v/>
      </c>
      <c r="AC34">
        <f>HYPERLINK("https://klasma.github.io/Logging_1435/tillsyn/A 19343-2025 tillsynsbegäran.docx", "A 19343-2025")</f>
        <v/>
      </c>
      <c r="AD34">
        <f>HYPERLINK("https://klasma.github.io/Logging_1435/tillsynsmail/A 19343-2025 tillsynsbegäran mail.docx", "A 19343-2025")</f>
        <v/>
      </c>
    </row>
    <row r="35" ht="15" customHeight="1">
      <c r="A35" t="inlineStr">
        <is>
          <t>A 53397-2022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46314</v>
      </c>
      <c r="F35" t="inlineStr">
        <is>
          <t>VÄSTRA GÖTALANDS LÄN</t>
        </is>
      </c>
      <c r="G35" t="inlineStr">
        <is>
          <t>TANUM</t>
        </is>
      </c>
      <c r="I35" t="n">
        <v>7.4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53397-2022 artfynd.xlsx", "A 53397-2022")</f>
        <v/>
      </c>
      <c r="X35">
        <f>HYPERLINK("https://klasma.github.io/Logging_1435/kartor/A 53397-2022 karta.png", "A 53397-2022")</f>
        <v/>
      </c>
      <c r="Y35">
        <f>HYPERLINK("https://klasma.github.io/Logging_1435/kartor_geotiff/A 53397-2022 georefererad karta.tif", "A 53397-2022")</f>
        <v/>
      </c>
      <c r="AA35">
        <f>HYPERLINK("https://klasma.github.io/Logging_1435/klagomål/A 53397-2022 FSC-klagomål.docx", "A 53397-2022")</f>
        <v/>
      </c>
      <c r="AB35">
        <f>HYPERLINK("https://klasma.github.io/Logging_1435/klagomålsmail/A 53397-2022 FSC-klagomål mail.docx", "A 53397-2022")</f>
        <v/>
      </c>
      <c r="AC35">
        <f>HYPERLINK("https://klasma.github.io/Logging_1435/tillsyn/A 53397-2022 tillsynsbegäran.docx", "A 53397-2022")</f>
        <v/>
      </c>
      <c r="AD35">
        <f>HYPERLINK("https://klasma.github.io/Logging_1435/tillsynsmail/A 53397-2022 tillsynsbegäran mail.docx", "A 53397-2022")</f>
        <v/>
      </c>
      <c r="AE35">
        <f>HYPERLINK("https://klasma.github.io/Logging_1435/fåglar/A 53397-2022 prioriterade fågelarter.docx", "A 53397-2022")</f>
        <v/>
      </c>
    </row>
    <row r="36" ht="15" customHeight="1">
      <c r="A36" t="inlineStr">
        <is>
          <t>A 57566-2023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46314</v>
      </c>
      <c r="F36" t="inlineStr">
        <is>
          <t>VÄSTRA GÖTALANDS LÄN</t>
        </is>
      </c>
      <c r="G36" t="inlineStr">
        <is>
          <t>TANUM</t>
        </is>
      </c>
      <c r="I36" t="n">
        <v>1.5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Hasselsnok</t>
        </is>
      </c>
      <c r="W36">
        <f>HYPERLINK("https://klasma.github.io/Logging_1435/artfynd/A 57566-2023 artfynd.xlsx", "A 57566-2023")</f>
        <v/>
      </c>
      <c r="X36">
        <f>HYPERLINK("https://klasma.github.io/Logging_1435/kartor/A 57566-2023 karta.png", "A 57566-2023")</f>
        <v/>
      </c>
      <c r="Y36">
        <f>HYPERLINK("https://klasma.github.io/Logging_1435/kartor_geotiff/A 57566-2023 georefererad karta.tif", "A 57566-2023")</f>
        <v/>
      </c>
      <c r="AA36">
        <f>HYPERLINK("https://klasma.github.io/Logging_1435/klagomål/A 57566-2023 FSC-klagomål.docx", "A 57566-2023")</f>
        <v/>
      </c>
      <c r="AB36">
        <f>HYPERLINK("https://klasma.github.io/Logging_1435/klagomålsmail/A 57566-2023 FSC-klagomål mail.docx", "A 57566-2023")</f>
        <v/>
      </c>
      <c r="AC36">
        <f>HYPERLINK("https://klasma.github.io/Logging_1435/tillsyn/A 57566-2023 tillsynsbegäran.docx", "A 57566-2023")</f>
        <v/>
      </c>
      <c r="AD36">
        <f>HYPERLINK("https://klasma.github.io/Logging_1435/tillsynsmail/A 57566-2023 tillsynsbegäran mail.docx", "A 57566-2023")</f>
        <v/>
      </c>
    </row>
    <row r="37" ht="15" customHeight="1">
      <c r="A37" t="inlineStr">
        <is>
          <t>A 9698-2024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45362</v>
      </c>
      <c r="E37" s="1" t="n">
        <v>46314</v>
      </c>
      <c r="F37" t="inlineStr">
        <is>
          <t>VÄSTRA GÖTALANDS LÄN</t>
        </is>
      </c>
      <c r="G37" t="inlineStr">
        <is>
          <t>TANUM</t>
        </is>
      </c>
      <c r="H37" t="inlineStr">
        <is>
          <t>Kyrkan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Springkorn</t>
        </is>
      </c>
      <c r="W37">
        <f>HYPERLINK("https://klasma.github.io/Logging_1435/artfynd/A 9698-2024 artfynd.xlsx", "A 9698-2024")</f>
        <v/>
      </c>
      <c r="X37">
        <f>HYPERLINK("https://klasma.github.io/Logging_1435/kartor/A 9698-2024 karta.png", "A 9698-2024")</f>
        <v/>
      </c>
      <c r="Y37">
        <f>HYPERLINK("https://klasma.github.io/Logging_1435/kartor_geotiff/A 9698-2024 georefererad karta.tif", "A 9698-2024")</f>
        <v/>
      </c>
      <c r="AA37">
        <f>HYPERLINK("https://klasma.github.io/Logging_1435/klagomål/A 9698-2024 FSC-klagomål.docx", "A 9698-2024")</f>
        <v/>
      </c>
      <c r="AB37">
        <f>HYPERLINK("https://klasma.github.io/Logging_1435/klagomålsmail/A 9698-2024 FSC-klagomål mail.docx", "A 9698-2024")</f>
        <v/>
      </c>
      <c r="AC37">
        <f>HYPERLINK("https://klasma.github.io/Logging_1435/tillsyn/A 9698-2024 tillsynsbegäran.docx", "A 9698-2024")</f>
        <v/>
      </c>
      <c r="AD37">
        <f>HYPERLINK("https://klasma.github.io/Logging_1435/tillsynsmail/A 9698-2024 tillsynsbegäran mail.docx", "A 9698-2024")</f>
        <v/>
      </c>
    </row>
    <row r="38" ht="15" customHeight="1">
      <c r="A38" t="inlineStr">
        <is>
          <t>A 10764-2025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46314</v>
      </c>
      <c r="F38" t="inlineStr">
        <is>
          <t>VÄSTRA GÖTALANDS LÄN</t>
        </is>
      </c>
      <c r="G38" t="inlineStr">
        <is>
          <t>TANUM</t>
        </is>
      </c>
      <c r="I38" t="n">
        <v>12.6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HYPERLINK("https://klasma.github.io/Logging_1435/artfynd/A 10764-2025 artfynd.xlsx", "A 10764-2025")</f>
        <v/>
      </c>
      <c r="X38">
        <f>HYPERLINK("https://klasma.github.io/Logging_1435/kartor/A 10764-2025 karta.png", "A 10764-2025")</f>
        <v/>
      </c>
      <c r="Y38">
        <f>HYPERLINK("https://klasma.github.io/Logging_1435/kartor_geotiff/A 10764-2025 georefererad karta.tif", "A 10764-2025")</f>
        <v/>
      </c>
      <c r="AA38">
        <f>HYPERLINK("https://klasma.github.io/Logging_1435/klagomål/A 10764-2025 FSC-klagomål.docx", "A 10764-2025")</f>
        <v/>
      </c>
      <c r="AB38">
        <f>HYPERLINK("https://klasma.github.io/Logging_1435/klagomålsmail/A 10764-2025 FSC-klagomål mail.docx", "A 10764-2025")</f>
        <v/>
      </c>
      <c r="AC38">
        <f>HYPERLINK("https://klasma.github.io/Logging_1435/tillsyn/A 10764-2025 tillsynsbegäran.docx", "A 10764-2025")</f>
        <v/>
      </c>
      <c r="AD38">
        <f>HYPERLINK("https://klasma.github.io/Logging_1435/tillsynsmail/A 10764-2025 tillsynsbegäran mail.docx", "A 10764-2025")</f>
        <v/>
      </c>
    </row>
    <row r="39" ht="15" customHeight="1">
      <c r="A39" t="inlineStr">
        <is>
          <t>A 125-2025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45649</v>
      </c>
      <c r="E39" s="1" t="n">
        <v>46314</v>
      </c>
      <c r="F39" t="inlineStr">
        <is>
          <t>VÄSTRA GÖTALANDS LÄN</t>
        </is>
      </c>
      <c r="G39" t="inlineStr">
        <is>
          <t>TANUM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Stallört</t>
        </is>
      </c>
      <c r="W39">
        <f>HYPERLINK("https://klasma.github.io/Logging_1435/artfynd/A 125-2025 artfynd.xlsx", "A 125-2025")</f>
        <v/>
      </c>
      <c r="X39">
        <f>HYPERLINK("https://klasma.github.io/Logging_1435/kartor/A 125-2025 karta.png", "A 125-2025")</f>
        <v/>
      </c>
      <c r="Y39">
        <f>HYPERLINK("https://klasma.github.io/Logging_1435/kartor_geotiff/A 125-2025 georefererad karta.tif", "A 125-2025")</f>
        <v/>
      </c>
      <c r="AA39">
        <f>HYPERLINK("https://klasma.github.io/Logging_1435/klagomål/A 125-2025 FSC-klagomål.docx", "A 125-2025")</f>
        <v/>
      </c>
      <c r="AB39">
        <f>HYPERLINK("https://klasma.github.io/Logging_1435/klagomålsmail/A 125-2025 FSC-klagomål mail.docx", "A 125-2025")</f>
        <v/>
      </c>
      <c r="AC39">
        <f>HYPERLINK("https://klasma.github.io/Logging_1435/tillsyn/A 125-2025 tillsynsbegäran.docx", "A 125-2025")</f>
        <v/>
      </c>
      <c r="AD39">
        <f>HYPERLINK("https://klasma.github.io/Logging_1435/tillsynsmail/A 125-2025 tillsynsbegäran mail.docx", "A 125-2025")</f>
        <v/>
      </c>
    </row>
    <row r="40" ht="15" customHeight="1">
      <c r="A40" t="inlineStr">
        <is>
          <t>A 23151-2022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44719</v>
      </c>
      <c r="E40" s="1" t="n">
        <v>46314</v>
      </c>
      <c r="F40" t="inlineStr">
        <is>
          <t>VÄSTRA GÖTALANDS LÄN</t>
        </is>
      </c>
      <c r="G40" t="inlineStr">
        <is>
          <t>TANUM</t>
        </is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Blåsippa</t>
        </is>
      </c>
      <c r="W40">
        <f>HYPERLINK("https://klasma.github.io/Logging_1435/artfynd/A 23151-2022 artfynd.xlsx", "A 23151-2022")</f>
        <v/>
      </c>
      <c r="X40">
        <f>HYPERLINK("https://klasma.github.io/Logging_1435/kartor/A 23151-2022 karta.png", "A 23151-2022")</f>
        <v/>
      </c>
      <c r="Y40">
        <f>HYPERLINK("https://klasma.github.io/Logging_1435/kartor_geotiff/A 23151-2022 georefererad karta.tif", "A 23151-2022")</f>
        <v/>
      </c>
      <c r="AA40">
        <f>HYPERLINK("https://klasma.github.io/Logging_1435/klagomål/A 23151-2022 FSC-klagomål.docx", "A 23151-2022")</f>
        <v/>
      </c>
      <c r="AB40">
        <f>HYPERLINK("https://klasma.github.io/Logging_1435/klagomålsmail/A 23151-2022 FSC-klagomål mail.docx", "A 23151-2022")</f>
        <v/>
      </c>
      <c r="AC40">
        <f>HYPERLINK("https://klasma.github.io/Logging_1435/tillsyn/A 23151-2022 tillsynsbegäran.docx", "A 23151-2022")</f>
        <v/>
      </c>
      <c r="AD40">
        <f>HYPERLINK("https://klasma.github.io/Logging_1435/tillsynsmail/A 23151-2022 tillsynsbegäran mail.docx", "A 23151-2022")</f>
        <v/>
      </c>
    </row>
    <row r="41" ht="15" customHeight="1">
      <c r="A41" t="inlineStr">
        <is>
          <t>A 39358-2025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45889</v>
      </c>
      <c r="E41" s="1" t="n">
        <v>46314</v>
      </c>
      <c r="F41" t="inlineStr">
        <is>
          <t>VÄSTRA GÖTALANDS LÄN</t>
        </is>
      </c>
      <c r="G41" t="inlineStr">
        <is>
          <t>TANUM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Åkerkulla</t>
        </is>
      </c>
      <c r="W41">
        <f>HYPERLINK("https://klasma.github.io/Logging_1435/artfynd/A 39358-2025 artfynd.xlsx", "A 39358-2025")</f>
        <v/>
      </c>
      <c r="X41">
        <f>HYPERLINK("https://klasma.github.io/Logging_1435/kartor/A 39358-2025 karta.png", "A 39358-2025")</f>
        <v/>
      </c>
      <c r="Y41">
        <f>HYPERLINK("https://klasma.github.io/Logging_1435/kartor_geotiff/A 39358-2025 georefererad karta.tif", "A 39358-2025")</f>
        <v/>
      </c>
      <c r="AA41">
        <f>HYPERLINK("https://klasma.github.io/Logging_1435/klagomål/A 39358-2025 FSC-klagomål.docx", "A 39358-2025")</f>
        <v/>
      </c>
      <c r="AB41">
        <f>HYPERLINK("https://klasma.github.io/Logging_1435/klagomålsmail/A 39358-2025 FSC-klagomål mail.docx", "A 39358-2025")</f>
        <v/>
      </c>
      <c r="AC41">
        <f>HYPERLINK("https://klasma.github.io/Logging_1435/tillsyn/A 39358-2025 tillsynsbegäran.docx", "A 39358-2025")</f>
        <v/>
      </c>
      <c r="AD41">
        <f>HYPERLINK("https://klasma.github.io/Logging_1435/tillsynsmail/A 39358-2025 tillsynsbegäran mail.docx", "A 39358-2025")</f>
        <v/>
      </c>
    </row>
    <row r="42" ht="15" customHeight="1">
      <c r="A42" t="inlineStr">
        <is>
          <t>A 23197-2026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46161</v>
      </c>
      <c r="E42" s="1" t="n">
        <v>46314</v>
      </c>
      <c r="F42" t="inlineStr">
        <is>
          <t>VÄSTRA GÖTALANDS LÄN</t>
        </is>
      </c>
      <c r="G42" t="inlineStr">
        <is>
          <t>TANUM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HYPERLINK("https://klasma.github.io/Logging_1435/artfynd/A 23197-2026 artfynd.xlsx", "A 23197-2026")</f>
        <v/>
      </c>
      <c r="X42">
        <f>HYPERLINK("https://klasma.github.io/Logging_1435/kartor/A 23197-2026 karta.png", "A 23197-2026")</f>
        <v/>
      </c>
      <c r="Y42">
        <f>HYPERLINK("https://klasma.github.io/Logging_1435/kartor_geotiff/A 23197-2026 georefererad karta.tif", "A 23197-2026")</f>
        <v/>
      </c>
      <c r="AA42">
        <f>HYPERLINK("https://klasma.github.io/Logging_1435/klagomål/A 23197-2026 FSC-klagomål.docx", "A 23197-2026")</f>
        <v/>
      </c>
      <c r="AB42">
        <f>HYPERLINK("https://klasma.github.io/Logging_1435/klagomålsmail/A 23197-2026 FSC-klagomål mail.docx", "A 23197-2026")</f>
        <v/>
      </c>
      <c r="AC42">
        <f>HYPERLINK("https://klasma.github.io/Logging_1435/tillsyn/A 23197-2026 tillsynsbegäran.docx", "A 23197-2026")</f>
        <v/>
      </c>
      <c r="AD42">
        <f>HYPERLINK("https://klasma.github.io/Logging_1435/tillsynsmail/A 23197-2026 tillsynsbegäran mail.docx", "A 23197-2026")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46314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54814-2023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46314</v>
      </c>
      <c r="F44" t="inlineStr">
        <is>
          <t>VÄSTRA GÖTALANDS LÄN</t>
        </is>
      </c>
      <c r="G44" t="inlineStr">
        <is>
          <t>TANUM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Tretåig hackspett</t>
        </is>
      </c>
      <c r="W44">
        <f>HYPERLINK("https://klasma.github.io/Logging_1435/artfynd/A 54814-2023 artfynd.xlsx", "A 54814-2023")</f>
        <v/>
      </c>
      <c r="X44">
        <f>HYPERLINK("https://klasma.github.io/Logging_1435/kartor/A 54814-2023 karta.png", "A 54814-2023")</f>
        <v/>
      </c>
      <c r="Y44">
        <f>HYPERLINK("https://klasma.github.io/Logging_1435/kartor_geotiff/A 54814-2023 georefererad karta.tif", "A 54814-2023")</f>
        <v/>
      </c>
      <c r="AA44">
        <f>HYPERLINK("https://klasma.github.io/Logging_1435/klagomål/A 54814-2023 FSC-klagomål.docx", "A 54814-2023")</f>
        <v/>
      </c>
      <c r="AB44">
        <f>HYPERLINK("https://klasma.github.io/Logging_1435/klagomålsmail/A 54814-2023 FSC-klagomål mail.docx", "A 54814-2023")</f>
        <v/>
      </c>
      <c r="AC44">
        <f>HYPERLINK("https://klasma.github.io/Logging_1435/tillsyn/A 54814-2023 tillsynsbegäran.docx", "A 54814-2023")</f>
        <v/>
      </c>
      <c r="AD44">
        <f>HYPERLINK("https://klasma.github.io/Logging_1435/tillsynsmail/A 54814-2023 tillsynsbegäran mail.docx", "A 54814-2023")</f>
        <v/>
      </c>
      <c r="AE44">
        <f>HYPERLINK("https://klasma.github.io/Logging_1435/fåglar/A 54814-2023 prioriterade fågelarter.docx", "A 54814-2023")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46314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14821-2026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46103</v>
      </c>
      <c r="E46" s="1" t="n">
        <v>46314</v>
      </c>
      <c r="F46" t="inlineStr">
        <is>
          <t>VÄSTRA GÖTALANDS LÄN</t>
        </is>
      </c>
      <c r="G46" t="inlineStr">
        <is>
          <t>TANUM</t>
        </is>
      </c>
      <c r="I46" t="n">
        <v>2.9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HYPERLINK("https://klasma.github.io/Logging_1435/artfynd/A 14821-2026 artfynd.xlsx", "A 14821-2026")</f>
        <v/>
      </c>
      <c r="X46">
        <f>HYPERLINK("https://klasma.github.io/Logging_1435/kartor/A 14821-2026 karta.png", "A 14821-2026")</f>
        <v/>
      </c>
      <c r="Y46">
        <f>HYPERLINK("https://klasma.github.io/Logging_1435/kartor_geotiff/A 14821-2026 georefererad karta.tif", "A 14821-2026")</f>
        <v/>
      </c>
      <c r="Z46">
        <f>HYPERLINK("https://klasma.github.io/Logging_1435/knärot/A 14821-2026 karta knärot.png", "A 14821-2026")</f>
        <v/>
      </c>
      <c r="AA46">
        <f>HYPERLINK("https://klasma.github.io/Logging_1435/klagomål/A 14821-2026 FSC-klagomål.docx", "A 14821-2026")</f>
        <v/>
      </c>
      <c r="AB46">
        <f>HYPERLINK("https://klasma.github.io/Logging_1435/klagomålsmail/A 14821-2026 FSC-klagomål mail.docx", "A 14821-2026")</f>
        <v/>
      </c>
      <c r="AC46">
        <f>HYPERLINK("https://klasma.github.io/Logging_1435/tillsyn/A 14821-2026 tillsynsbegäran.docx", "A 14821-2026")</f>
        <v/>
      </c>
      <c r="AD46">
        <f>HYPERLINK("https://klasma.github.io/Logging_1435/tillsynsmail/A 14821-2026 tillsynsbegäran mail.docx", "A 14821-2026")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46314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46314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4208-2025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46314</v>
      </c>
      <c r="F49" t="inlineStr">
        <is>
          <t>VÄSTRA GÖTALANDS LÄN</t>
        </is>
      </c>
      <c r="G49" t="inlineStr">
        <is>
          <t>TANUM</t>
        </is>
      </c>
      <c r="I49" t="n">
        <v>19.3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HYPERLINK("https://klasma.github.io/Logging_1435/artfynd/A 4208-2025 artfynd.xlsx", "A 4208-2025")</f>
        <v/>
      </c>
      <c r="X49">
        <f>HYPERLINK("https://klasma.github.io/Logging_1435/kartor/A 4208-2025 karta.png", "A 4208-2025")</f>
        <v/>
      </c>
      <c r="Y49">
        <f>HYPERLINK("https://klasma.github.io/Logging_1435/kartor_geotiff/A 4208-2025 georefererad karta.tif", "A 4208-2025")</f>
        <v/>
      </c>
      <c r="AA49">
        <f>HYPERLINK("https://klasma.github.io/Logging_1435/klagomål/A 4208-2025 FSC-klagomål.docx", "A 4208-2025")</f>
        <v/>
      </c>
      <c r="AB49">
        <f>HYPERLINK("https://klasma.github.io/Logging_1435/klagomålsmail/A 4208-2025 FSC-klagomål mail.docx", "A 4208-2025")</f>
        <v/>
      </c>
      <c r="AC49">
        <f>HYPERLINK("https://klasma.github.io/Logging_1435/tillsyn/A 4208-2025 tillsynsbegäran.docx", "A 4208-2025")</f>
        <v/>
      </c>
      <c r="AD49">
        <f>HYPERLINK("https://klasma.github.io/Logging_1435/tillsynsmail/A 4208-2025 tillsynsbegäran mail.docx", "A 4208-2025")</f>
        <v/>
      </c>
    </row>
    <row r="50" ht="15" customHeight="1">
      <c r="A50" t="inlineStr">
        <is>
          <t>A 23149-2025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46314</v>
      </c>
      <c r="F50" t="inlineStr">
        <is>
          <t>VÄSTRA GÖTALANDS LÄN</t>
        </is>
      </c>
      <c r="G50" t="inlineStr">
        <is>
          <t>TANUM</t>
        </is>
      </c>
      <c r="I50" t="n">
        <v>9.9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Lopplummer (aggregat)</t>
        </is>
      </c>
      <c r="W50">
        <f>HYPERLINK("https://klasma.github.io/Logging_1435/artfynd/A 23149-2025 artfynd.xlsx", "A 23149-2025")</f>
        <v/>
      </c>
      <c r="X50">
        <f>HYPERLINK("https://klasma.github.io/Logging_1435/kartor/A 23149-2025 karta.png", "A 23149-2025")</f>
        <v/>
      </c>
      <c r="Y50">
        <f>HYPERLINK("https://klasma.github.io/Logging_1435/kartor_geotiff/A 23149-2025 georefererad karta.tif", "A 23149-2025")</f>
        <v/>
      </c>
      <c r="AA50">
        <f>HYPERLINK("https://klasma.github.io/Logging_1435/klagomål/A 23149-2025 FSC-klagomål.docx", "A 23149-2025")</f>
        <v/>
      </c>
      <c r="AB50">
        <f>HYPERLINK("https://klasma.github.io/Logging_1435/klagomålsmail/A 23149-2025 FSC-klagomål mail.docx", "A 23149-2025")</f>
        <v/>
      </c>
      <c r="AC50">
        <f>HYPERLINK("https://klasma.github.io/Logging_1435/tillsyn/A 23149-2025 tillsynsbegäran.docx", "A 23149-2025")</f>
        <v/>
      </c>
      <c r="AD50">
        <f>HYPERLINK("https://klasma.github.io/Logging_1435/tillsynsmail/A 23149-2025 tillsynsbegäran mail.docx", "A 23149-2025")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46314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36121-2025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45866</v>
      </c>
      <c r="E52" s="1" t="n">
        <v>46314</v>
      </c>
      <c r="F52" t="inlineStr">
        <is>
          <t>VÄSTRA GÖTALANDS LÄN</t>
        </is>
      </c>
      <c r="G52" t="inlineStr">
        <is>
          <t>TANUM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HYPERLINK("https://klasma.github.io/Logging_1435/artfynd/A 36121-2025 artfynd.xlsx", "A 36121-2025")</f>
        <v/>
      </c>
      <c r="X52">
        <f>HYPERLINK("https://klasma.github.io/Logging_1435/kartor/A 36121-2025 karta.png", "A 36121-2025")</f>
        <v/>
      </c>
      <c r="Y52">
        <f>HYPERLINK("https://klasma.github.io/Logging_1435/kartor_geotiff/A 36121-2025 georefererad karta.tif", "A 36121-2025")</f>
        <v/>
      </c>
      <c r="AA52">
        <f>HYPERLINK("https://klasma.github.io/Logging_1435/klagomål/A 36121-2025 FSC-klagomål.docx", "A 36121-2025")</f>
        <v/>
      </c>
      <c r="AB52">
        <f>HYPERLINK("https://klasma.github.io/Logging_1435/klagomålsmail/A 36121-2025 FSC-klagomål mail.docx", "A 36121-2025")</f>
        <v/>
      </c>
      <c r="AC52">
        <f>HYPERLINK("https://klasma.github.io/Logging_1435/tillsyn/A 36121-2025 tillsynsbegäran.docx", "A 36121-2025")</f>
        <v/>
      </c>
      <c r="AD52">
        <f>HYPERLINK("https://klasma.github.io/Logging_1435/tillsynsmail/A 36121-2025 tillsynsbegäran mail.docx", "A 36121-2025")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46314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46314</v>
      </c>
      <c r="F54" t="inlineStr">
        <is>
          <t>VÄSTRA GÖTALANDS LÄN</t>
        </is>
      </c>
      <c r="G54" t="inlineStr">
        <is>
          <t>TANUM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72228-2021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44544</v>
      </c>
      <c r="E55" s="1" t="n">
        <v>46314</v>
      </c>
      <c r="F55" t="inlineStr">
        <is>
          <t>VÄSTRA GÖTALANDS LÄN</t>
        </is>
      </c>
      <c r="G55" t="inlineStr">
        <is>
          <t>TANUM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46314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46314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46314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46314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46314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46314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46314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46314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46314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46314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46314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46314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46314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46314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46314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46314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46314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46314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46314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46314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46314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46314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46314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46314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46314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46314</v>
      </c>
      <c r="F81" t="inlineStr">
        <is>
          <t>VÄSTRA GÖTALANDS LÄN</t>
        </is>
      </c>
      <c r="G81" t="inlineStr">
        <is>
          <t>TANUM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46314</v>
      </c>
      <c r="F82" t="inlineStr">
        <is>
          <t>VÄSTRA GÖTALANDS LÄN</t>
        </is>
      </c>
      <c r="G82" t="inlineStr">
        <is>
          <t>TANUM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44890</v>
      </c>
      <c r="E83" s="1" t="n">
        <v>46314</v>
      </c>
      <c r="F83" t="inlineStr">
        <is>
          <t>VÄSTRA GÖTALANDS LÄN</t>
        </is>
      </c>
      <c r="G83" t="inlineStr">
        <is>
          <t>TANUM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46314</v>
      </c>
      <c r="F84" t="inlineStr">
        <is>
          <t>VÄSTRA GÖTALANDS LÄN</t>
        </is>
      </c>
      <c r="G84" t="inlineStr">
        <is>
          <t>TANUM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44999</v>
      </c>
      <c r="E85" s="1" t="n">
        <v>46314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45488</v>
      </c>
      <c r="E86" s="1" t="n">
        <v>46314</v>
      </c>
      <c r="F86" t="inlineStr">
        <is>
          <t>VÄSTRA GÖTALANDS LÄN</t>
        </is>
      </c>
      <c r="G86" t="inlineStr">
        <is>
          <t>TANUM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46314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45649</v>
      </c>
      <c r="E88" s="1" t="n">
        <v>46314</v>
      </c>
      <c r="F88" t="inlineStr">
        <is>
          <t>VÄSTRA GÖTALANDS LÄN</t>
        </is>
      </c>
      <c r="G88" t="inlineStr">
        <is>
          <t>TANUM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46314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44954</v>
      </c>
      <c r="E90" s="1" t="n">
        <v>46314</v>
      </c>
      <c r="F90" t="inlineStr">
        <is>
          <t>VÄSTRA GÖTALANDS LÄN</t>
        </is>
      </c>
      <c r="G90" t="inlineStr">
        <is>
          <t>TANUM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46314</v>
      </c>
      <c r="F91" t="inlineStr">
        <is>
          <t>VÄSTRA GÖTALANDS LÄN</t>
        </is>
      </c>
      <c r="G91" t="inlineStr">
        <is>
          <t>TANUM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45261</v>
      </c>
      <c r="E92" s="1" t="n">
        <v>46314</v>
      </c>
      <c r="F92" t="inlineStr">
        <is>
          <t>VÄSTRA GÖTALANDS LÄN</t>
        </is>
      </c>
      <c r="G92" t="inlineStr">
        <is>
          <t>TANUM</t>
        </is>
      </c>
      <c r="I92" t="n">
        <v>11.3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46314</v>
      </c>
      <c r="F93" t="inlineStr">
        <is>
          <t>VÄSTRA GÖTALANDS LÄN</t>
        </is>
      </c>
      <c r="G93" t="inlineStr">
        <is>
          <t>TANUM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46314</v>
      </c>
      <c r="F94" t="inlineStr">
        <is>
          <t>VÄSTRA GÖTALANDS LÄN</t>
        </is>
      </c>
      <c r="G94" t="inlineStr">
        <is>
          <t>TANUM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45355</v>
      </c>
      <c r="E95" s="1" t="n">
        <v>46314</v>
      </c>
      <c r="F95" t="inlineStr">
        <is>
          <t>VÄSTRA GÖTALANDS LÄN</t>
        </is>
      </c>
      <c r="G95" t="inlineStr">
        <is>
          <t>TANUM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45102</v>
      </c>
      <c r="E96" s="1" t="n">
        <v>46314</v>
      </c>
      <c r="F96" t="inlineStr">
        <is>
          <t>VÄSTRA GÖTALANDS LÄN</t>
        </is>
      </c>
      <c r="G96" t="inlineStr">
        <is>
          <t>TANUM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46314</v>
      </c>
      <c r="F97" t="inlineStr">
        <is>
          <t>VÄSTRA GÖTALANDS LÄN</t>
        </is>
      </c>
      <c r="G97" t="inlineStr">
        <is>
          <t>TANUM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44997</v>
      </c>
      <c r="E98" s="1" t="n">
        <v>46314</v>
      </c>
      <c r="F98" t="inlineStr">
        <is>
          <t>VÄSTRA GÖTALANDS LÄN</t>
        </is>
      </c>
      <c r="G98" t="inlineStr">
        <is>
          <t>TANUM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72227-2021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46314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45744-2024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45579</v>
      </c>
      <c r="E100" s="1" t="n">
        <v>46314</v>
      </c>
      <c r="F100" t="inlineStr">
        <is>
          <t>VÄSTRA GÖTALANDS LÄN</t>
        </is>
      </c>
      <c r="G100" t="inlineStr">
        <is>
          <t>TANUM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46314</v>
      </c>
      <c r="F101" t="inlineStr">
        <is>
          <t>VÄSTRA GÖTALANDS LÄN</t>
        </is>
      </c>
      <c r="G101" t="inlineStr">
        <is>
          <t>TANUM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60624-2021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46314</v>
      </c>
      <c r="F102" t="inlineStr">
        <is>
          <t>VÄSTRA GÖTALANDS LÄN</t>
        </is>
      </c>
      <c r="G102" t="inlineStr">
        <is>
          <t>TANUM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46314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46314</v>
      </c>
      <c r="F104" t="inlineStr">
        <is>
          <t>VÄSTRA GÖTALANDS LÄN</t>
        </is>
      </c>
      <c r="G104" t="inlineStr">
        <is>
          <t>TANUM</t>
        </is>
      </c>
      <c r="I104" t="n">
        <v>11.9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45085</v>
      </c>
      <c r="E105" s="1" t="n">
        <v>46314</v>
      </c>
      <c r="F105" t="inlineStr">
        <is>
          <t>VÄSTRA GÖTALANDS LÄN</t>
        </is>
      </c>
      <c r="G105" t="inlineStr">
        <is>
          <t>TANUM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46314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46314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64990-2021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44514</v>
      </c>
      <c r="E108" s="1" t="n">
        <v>46314</v>
      </c>
      <c r="F108" t="inlineStr">
        <is>
          <t>VÄSTRA GÖTALANDS LÄN</t>
        </is>
      </c>
      <c r="G108" t="inlineStr">
        <is>
          <t>TANUM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46314</v>
      </c>
      <c r="F109" t="inlineStr">
        <is>
          <t>VÄSTRA GÖTALANDS LÄN</t>
        </is>
      </c>
      <c r="G109" t="inlineStr">
        <is>
          <t>TANUM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46314</v>
      </c>
      <c r="F110" t="inlineStr">
        <is>
          <t>VÄSTRA GÖTALANDS LÄN</t>
        </is>
      </c>
      <c r="G110" t="inlineStr">
        <is>
          <t>TANUM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46314</v>
      </c>
      <c r="F111" t="inlineStr">
        <is>
          <t>VÄSTRA GÖTALANDS LÄN</t>
        </is>
      </c>
      <c r="G111" t="inlineStr">
        <is>
          <t>TANUM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45659</v>
      </c>
      <c r="E112" s="1" t="n">
        <v>46314</v>
      </c>
      <c r="F112" t="inlineStr">
        <is>
          <t>VÄSTRA GÖTALANDS LÄN</t>
        </is>
      </c>
      <c r="G112" t="inlineStr">
        <is>
          <t>TANUM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46314</v>
      </c>
      <c r="F113" t="inlineStr">
        <is>
          <t>VÄSTRA GÖTALANDS LÄN</t>
        </is>
      </c>
      <c r="G113" t="inlineStr">
        <is>
          <t>TANUM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46314</v>
      </c>
      <c r="F114" t="inlineStr">
        <is>
          <t>VÄSTRA GÖTALANDS LÄN</t>
        </is>
      </c>
      <c r="G114" t="inlineStr">
        <is>
          <t>TANUM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46314</v>
      </c>
      <c r="F115" t="inlineStr">
        <is>
          <t>VÄSTRA GÖTALANDS LÄN</t>
        </is>
      </c>
      <c r="G115" t="inlineStr">
        <is>
          <t>TANUM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46314</v>
      </c>
      <c r="F116" t="inlineStr">
        <is>
          <t>VÄSTRA GÖTALANDS LÄN</t>
        </is>
      </c>
      <c r="G116" t="inlineStr">
        <is>
          <t>TANUM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46314</v>
      </c>
      <c r="F117" t="inlineStr">
        <is>
          <t>VÄSTRA GÖTALANDS LÄN</t>
        </is>
      </c>
      <c r="G117" t="inlineStr">
        <is>
          <t>TANUM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44792</v>
      </c>
      <c r="E118" s="1" t="n">
        <v>46314</v>
      </c>
      <c r="F118" t="inlineStr">
        <is>
          <t>VÄSTRA GÖTALANDS LÄN</t>
        </is>
      </c>
      <c r="G118" t="inlineStr">
        <is>
          <t>TANUM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46314</v>
      </c>
      <c r="F119" t="inlineStr">
        <is>
          <t>VÄSTRA GÖTALANDS LÄN</t>
        </is>
      </c>
      <c r="G119" t="inlineStr">
        <is>
          <t>TANUM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45744</v>
      </c>
      <c r="E120" s="1" t="n">
        <v>46314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46314</v>
      </c>
      <c r="F121" t="inlineStr">
        <is>
          <t>VÄSTRA GÖTALANDS LÄN</t>
        </is>
      </c>
      <c r="G121" t="inlineStr">
        <is>
          <t>TANUM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46314</v>
      </c>
      <c r="F122" t="inlineStr">
        <is>
          <t>VÄSTRA GÖTALANDS LÄN</t>
        </is>
      </c>
      <c r="G122" t="inlineStr">
        <is>
          <t>TANUM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45515</v>
      </c>
      <c r="E123" s="1" t="n">
        <v>46314</v>
      </c>
      <c r="F123" t="inlineStr">
        <is>
          <t>VÄSTRA GÖTALANDS LÄN</t>
        </is>
      </c>
      <c r="G123" t="inlineStr">
        <is>
          <t>TANUM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45300</v>
      </c>
      <c r="E124" s="1" t="n">
        <v>46314</v>
      </c>
      <c r="F124" t="inlineStr">
        <is>
          <t>VÄSTRA GÖTALANDS LÄN</t>
        </is>
      </c>
      <c r="G124" t="inlineStr">
        <is>
          <t>TANUM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46314</v>
      </c>
      <c r="F125" t="inlineStr">
        <is>
          <t>VÄSTRA GÖTALANDS LÄN</t>
        </is>
      </c>
      <c r="G125" t="inlineStr">
        <is>
          <t>TANUM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44862</v>
      </c>
      <c r="E126" s="1" t="n">
        <v>46314</v>
      </c>
      <c r="F126" t="inlineStr">
        <is>
          <t>VÄSTRA GÖTALANDS LÄN</t>
        </is>
      </c>
      <c r="G126" t="inlineStr">
        <is>
          <t>TANUM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45446</v>
      </c>
      <c r="E127" s="1" t="n">
        <v>46314</v>
      </c>
      <c r="F127" t="inlineStr">
        <is>
          <t>VÄSTRA GÖTALANDS LÄN</t>
        </is>
      </c>
      <c r="G127" t="inlineStr">
        <is>
          <t>TANUM</t>
        </is>
      </c>
      <c r="I127" t="n">
        <v>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46314</v>
      </c>
      <c r="F128" t="inlineStr">
        <is>
          <t>VÄSTRA GÖTALANDS LÄN</t>
        </is>
      </c>
      <c r="G128" t="inlineStr">
        <is>
          <t>TANUM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46314</v>
      </c>
      <c r="F129" t="inlineStr">
        <is>
          <t>VÄSTRA GÖTALANDS LÄN</t>
        </is>
      </c>
      <c r="G129" t="inlineStr">
        <is>
          <t>TANUM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46314</v>
      </c>
      <c r="F130" t="inlineStr">
        <is>
          <t>VÄSTRA GÖTALANDS LÄN</t>
        </is>
      </c>
      <c r="G130" t="inlineStr">
        <is>
          <t>TANUM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46314</v>
      </c>
      <c r="F131" t="inlineStr">
        <is>
          <t>VÄSTRA GÖTALANDS LÄN</t>
        </is>
      </c>
      <c r="G131" t="inlineStr">
        <is>
          <t>TANUM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73810-2021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46314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46314</v>
      </c>
      <c r="F133" t="inlineStr">
        <is>
          <t>VÄSTRA GÖTALANDS LÄN</t>
        </is>
      </c>
      <c r="G133" t="inlineStr">
        <is>
          <t>TANUM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46314</v>
      </c>
      <c r="F134" t="inlineStr">
        <is>
          <t>VÄSTRA GÖTALANDS LÄN</t>
        </is>
      </c>
      <c r="G134" t="inlineStr">
        <is>
          <t>TANUM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46314</v>
      </c>
      <c r="F135" t="inlineStr">
        <is>
          <t>VÄSTRA GÖTALANDS LÄN</t>
        </is>
      </c>
      <c r="G135" t="inlineStr">
        <is>
          <t>TANUM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44867</v>
      </c>
      <c r="E136" s="1" t="n">
        <v>46314</v>
      </c>
      <c r="F136" t="inlineStr">
        <is>
          <t>VÄSTRA GÖTALANDS LÄN</t>
        </is>
      </c>
      <c r="G136" t="inlineStr">
        <is>
          <t>TANUM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46314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46314</v>
      </c>
      <c r="F138" t="inlineStr">
        <is>
          <t>VÄSTRA GÖTALANDS LÄN</t>
        </is>
      </c>
      <c r="G138" t="inlineStr">
        <is>
          <t>TANUM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46314</v>
      </c>
      <c r="F139" t="inlineStr">
        <is>
          <t>VÄSTRA GÖTALANDS LÄN</t>
        </is>
      </c>
      <c r="G139" t="inlineStr">
        <is>
          <t>TANUM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46314</v>
      </c>
      <c r="F140" t="inlineStr">
        <is>
          <t>VÄSTRA GÖTALANDS LÄN</t>
        </is>
      </c>
      <c r="G140" t="inlineStr">
        <is>
          <t>TANUM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44579</v>
      </c>
      <c r="E141" s="1" t="n">
        <v>46314</v>
      </c>
      <c r="F141" t="inlineStr">
        <is>
          <t>VÄSTRA GÖTALANDS LÄN</t>
        </is>
      </c>
      <c r="G141" t="inlineStr">
        <is>
          <t>TANUM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44939</v>
      </c>
      <c r="E142" s="1" t="n">
        <v>46314</v>
      </c>
      <c r="F142" t="inlineStr">
        <is>
          <t>VÄSTRA GÖTALANDS LÄN</t>
        </is>
      </c>
      <c r="G142" t="inlineStr">
        <is>
          <t>TANUM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45041</v>
      </c>
      <c r="E143" s="1" t="n">
        <v>46314</v>
      </c>
      <c r="F143" t="inlineStr">
        <is>
          <t>VÄSTRA GÖTALANDS LÄN</t>
        </is>
      </c>
      <c r="G143" t="inlineStr">
        <is>
          <t>TANUM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46314</v>
      </c>
      <c r="F144" t="inlineStr">
        <is>
          <t>VÄSTRA GÖTALANDS LÄN</t>
        </is>
      </c>
      <c r="G144" t="inlineStr">
        <is>
          <t>TANUM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45271</v>
      </c>
      <c r="E145" s="1" t="n">
        <v>46314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46314</v>
      </c>
      <c r="F146" t="inlineStr">
        <is>
          <t>VÄSTRA GÖTALANDS LÄN</t>
        </is>
      </c>
      <c r="G146" t="inlineStr">
        <is>
          <t>TANUM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46314</v>
      </c>
      <c r="F147" t="inlineStr">
        <is>
          <t>VÄSTRA GÖTALANDS LÄN</t>
        </is>
      </c>
      <c r="G147" t="inlineStr">
        <is>
          <t>TANUM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46314</v>
      </c>
      <c r="F148" t="inlineStr">
        <is>
          <t>VÄSTRA GÖTALANDS LÄN</t>
        </is>
      </c>
      <c r="G148" t="inlineStr">
        <is>
          <t>TANUM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46314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46314</v>
      </c>
      <c r="F150" t="inlineStr">
        <is>
          <t>VÄSTRA GÖTALANDS LÄN</t>
        </is>
      </c>
      <c r="G150" t="inlineStr">
        <is>
          <t>TANUM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46314</v>
      </c>
      <c r="F151" t="inlineStr">
        <is>
          <t>VÄSTRA GÖTALANDS LÄN</t>
        </is>
      </c>
      <c r="G151" t="inlineStr">
        <is>
          <t>TANUM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46314</v>
      </c>
      <c r="F152" t="inlineStr">
        <is>
          <t>VÄSTRA GÖTALANDS LÄN</t>
        </is>
      </c>
      <c r="G152" t="inlineStr">
        <is>
          <t>TANUM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46314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45369</v>
      </c>
      <c r="E154" s="1" t="n">
        <v>46314</v>
      </c>
      <c r="F154" t="inlineStr">
        <is>
          <t>VÄSTRA GÖTALANDS LÄN</t>
        </is>
      </c>
      <c r="G154" t="inlineStr">
        <is>
          <t>TANUM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46314</v>
      </c>
      <c r="F155" t="inlineStr">
        <is>
          <t>VÄSTRA GÖTALANDS LÄN</t>
        </is>
      </c>
      <c r="G155" t="inlineStr">
        <is>
          <t>TANUM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44506</v>
      </c>
      <c r="E156" s="1" t="n">
        <v>46314</v>
      </c>
      <c r="F156" t="inlineStr">
        <is>
          <t>VÄSTRA GÖTALANDS LÄN</t>
        </is>
      </c>
      <c r="G156" t="inlineStr">
        <is>
          <t>TANUM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46314</v>
      </c>
      <c r="F157" t="inlineStr">
        <is>
          <t>VÄSTRA GÖTALANDS LÄN</t>
        </is>
      </c>
      <c r="G157" t="inlineStr">
        <is>
          <t>TANUM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46314</v>
      </c>
      <c r="F158" t="inlineStr">
        <is>
          <t>VÄSTRA GÖTALANDS LÄN</t>
        </is>
      </c>
      <c r="G158" t="inlineStr">
        <is>
          <t>TANUM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45490</v>
      </c>
      <c r="E159" s="1" t="n">
        <v>46314</v>
      </c>
      <c r="F159" t="inlineStr">
        <is>
          <t>VÄSTRA GÖTALANDS LÄN</t>
        </is>
      </c>
      <c r="G159" t="inlineStr">
        <is>
          <t>TANUM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46314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46314</v>
      </c>
      <c r="F161" t="inlineStr">
        <is>
          <t>VÄSTRA GÖTALANDS LÄN</t>
        </is>
      </c>
      <c r="G161" t="inlineStr">
        <is>
          <t>TANUM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45293</v>
      </c>
      <c r="E162" s="1" t="n">
        <v>46314</v>
      </c>
      <c r="F162" t="inlineStr">
        <is>
          <t>VÄSTRA GÖTALANDS LÄN</t>
        </is>
      </c>
      <c r="G162" t="inlineStr">
        <is>
          <t>TANUM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46314</v>
      </c>
      <c r="F163" t="inlineStr">
        <is>
          <t>VÄSTRA GÖTALANDS LÄN</t>
        </is>
      </c>
      <c r="G163" t="inlineStr">
        <is>
          <t>TANUM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46314</v>
      </c>
      <c r="F164" t="inlineStr">
        <is>
          <t>VÄSTRA GÖTALANDS LÄN</t>
        </is>
      </c>
      <c r="G164" t="inlineStr">
        <is>
          <t>TANUM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46314</v>
      </c>
      <c r="F165" t="inlineStr">
        <is>
          <t>VÄSTRA GÖTALANDS LÄN</t>
        </is>
      </c>
      <c r="G165" t="inlineStr">
        <is>
          <t>TANUM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46314</v>
      </c>
      <c r="F166" t="inlineStr">
        <is>
          <t>VÄSTRA GÖTALANDS LÄN</t>
        </is>
      </c>
      <c r="G166" t="inlineStr">
        <is>
          <t>TANUM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46314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46314</v>
      </c>
      <c r="F168" t="inlineStr">
        <is>
          <t>VÄSTRA GÖTALANDS LÄN</t>
        </is>
      </c>
      <c r="G168" t="inlineStr">
        <is>
          <t>TANUM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46314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46314</v>
      </c>
      <c r="F170" t="inlineStr">
        <is>
          <t>VÄSTRA GÖTALANDS LÄN</t>
        </is>
      </c>
      <c r="G170" t="inlineStr">
        <is>
          <t>TANUM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46314</v>
      </c>
      <c r="F171" t="inlineStr">
        <is>
          <t>VÄSTRA GÖTALANDS LÄN</t>
        </is>
      </c>
      <c r="G171" t="inlineStr">
        <is>
          <t>TANUM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46314</v>
      </c>
      <c r="F172" t="inlineStr">
        <is>
          <t>VÄSTRA GÖTALANDS LÄN</t>
        </is>
      </c>
      <c r="G172" t="inlineStr">
        <is>
          <t>TANUM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46314</v>
      </c>
      <c r="F173" t="inlineStr">
        <is>
          <t>VÄSTRA GÖTALANDS LÄN</t>
        </is>
      </c>
      <c r="G173" t="inlineStr">
        <is>
          <t>TANUM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46314</v>
      </c>
      <c r="F174" t="inlineStr">
        <is>
          <t>VÄSTRA GÖTALANDS LÄN</t>
        </is>
      </c>
      <c r="G174" t="inlineStr">
        <is>
          <t>TANUM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45872</v>
      </c>
      <c r="E175" s="1" t="n">
        <v>46314</v>
      </c>
      <c r="F175" t="inlineStr">
        <is>
          <t>VÄSTRA GÖTALANDS LÄN</t>
        </is>
      </c>
      <c r="G175" t="inlineStr">
        <is>
          <t>TANUM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46314</v>
      </c>
      <c r="F176" t="inlineStr">
        <is>
          <t>VÄSTRA GÖTALANDS LÄN</t>
        </is>
      </c>
      <c r="G176" t="inlineStr">
        <is>
          <t>TANUM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46314</v>
      </c>
      <c r="F177" t="inlineStr">
        <is>
          <t>VÄSTRA GÖTALANDS LÄN</t>
        </is>
      </c>
      <c r="G177" t="inlineStr">
        <is>
          <t>TANUM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46314</v>
      </c>
      <c r="F178" t="inlineStr">
        <is>
          <t>VÄSTRA GÖTALANDS LÄN</t>
        </is>
      </c>
      <c r="G178" t="inlineStr">
        <is>
          <t>TANUM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46314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46314</v>
      </c>
      <c r="F180" t="inlineStr">
        <is>
          <t>VÄSTRA GÖTALANDS LÄN</t>
        </is>
      </c>
      <c r="G180" t="inlineStr">
        <is>
          <t>TANUM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46314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46314</v>
      </c>
      <c r="F182" t="inlineStr">
        <is>
          <t>VÄSTRA GÖTALANDS LÄN</t>
        </is>
      </c>
      <c r="G182" t="inlineStr">
        <is>
          <t>TANUM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46314</v>
      </c>
      <c r="F183" t="inlineStr">
        <is>
          <t>VÄSTRA GÖTALANDS LÄN</t>
        </is>
      </c>
      <c r="G183" t="inlineStr">
        <is>
          <t>TANUM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46314</v>
      </c>
      <c r="F184" t="inlineStr">
        <is>
          <t>VÄSTRA GÖTALANDS LÄN</t>
        </is>
      </c>
      <c r="G184" t="inlineStr">
        <is>
          <t>TANUM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46314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46314</v>
      </c>
      <c r="F186" t="inlineStr">
        <is>
          <t>VÄSTRA GÖTALANDS LÄN</t>
        </is>
      </c>
      <c r="G186" t="inlineStr">
        <is>
          <t>TANUM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45698</v>
      </c>
      <c r="E187" s="1" t="n">
        <v>46314</v>
      </c>
      <c r="F187" t="inlineStr">
        <is>
          <t>VÄSTRA GÖTALANDS LÄN</t>
        </is>
      </c>
      <c r="G187" t="inlineStr">
        <is>
          <t>TANUM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46314</v>
      </c>
      <c r="F188" t="inlineStr">
        <is>
          <t>VÄSTRA GÖTALANDS LÄN</t>
        </is>
      </c>
      <c r="G188" t="inlineStr">
        <is>
          <t>TANUM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46314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46314</v>
      </c>
      <c r="F190" t="inlineStr">
        <is>
          <t>VÄSTRA GÖTALANDS LÄN</t>
        </is>
      </c>
      <c r="G190" t="inlineStr">
        <is>
          <t>TANUM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46314</v>
      </c>
      <c r="F191" t="inlineStr">
        <is>
          <t>VÄSTRA GÖTALANDS LÄN</t>
        </is>
      </c>
      <c r="G191" t="inlineStr">
        <is>
          <t>TANUM</t>
        </is>
      </c>
      <c r="H191" t="inlineStr">
        <is>
          <t>Naturvårdsverket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46314</v>
      </c>
      <c r="F192" t="inlineStr">
        <is>
          <t>VÄSTRA GÖTALANDS LÄN</t>
        </is>
      </c>
      <c r="G192" t="inlineStr">
        <is>
          <t>TANUM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46314</v>
      </c>
      <c r="F193" t="inlineStr">
        <is>
          <t>VÄSTRA GÖTALANDS LÄN</t>
        </is>
      </c>
      <c r="G193" t="inlineStr">
        <is>
          <t>TANUM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46314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45927</v>
      </c>
      <c r="E195" s="1" t="n">
        <v>46314</v>
      </c>
      <c r="F195" t="inlineStr">
        <is>
          <t>VÄSTRA GÖTALANDS LÄN</t>
        </is>
      </c>
      <c r="G195" t="inlineStr">
        <is>
          <t>TANUM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46314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46314</v>
      </c>
      <c r="F197" t="inlineStr">
        <is>
          <t>VÄSTRA GÖTALANDS LÄN</t>
        </is>
      </c>
      <c r="G197" t="inlineStr">
        <is>
          <t>TANUM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46314</v>
      </c>
      <c r="F198" t="inlineStr">
        <is>
          <t>VÄSTRA GÖTALANDS LÄN</t>
        </is>
      </c>
      <c r="G198" t="inlineStr">
        <is>
          <t>TANUM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46314</v>
      </c>
      <c r="F199" t="inlineStr">
        <is>
          <t>VÄSTRA GÖTALANDS LÄN</t>
        </is>
      </c>
      <c r="G199" t="inlineStr">
        <is>
          <t>TANUM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64997-2023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45286</v>
      </c>
      <c r="E200" s="1" t="n">
        <v>46314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46314</v>
      </c>
      <c r="F201" t="inlineStr">
        <is>
          <t>VÄSTRA GÖTALANDS LÄN</t>
        </is>
      </c>
      <c r="G201" t="inlineStr">
        <is>
          <t>TANUM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45935</v>
      </c>
      <c r="E202" s="1" t="n">
        <v>46314</v>
      </c>
      <c r="F202" t="inlineStr">
        <is>
          <t>VÄSTRA GÖTALANDS LÄN</t>
        </is>
      </c>
      <c r="G202" t="inlineStr">
        <is>
          <t>TANUM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46314</v>
      </c>
      <c r="F203" t="inlineStr">
        <is>
          <t>VÄSTRA GÖTALANDS LÄN</t>
        </is>
      </c>
      <c r="G203" t="inlineStr">
        <is>
          <t>TANUM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46314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46314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46314</v>
      </c>
      <c r="F206" t="inlineStr">
        <is>
          <t>VÄSTRA GÖTALANDS LÄN</t>
        </is>
      </c>
      <c r="G206" t="inlineStr">
        <is>
          <t>TANUM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46314</v>
      </c>
      <c r="F207" t="inlineStr">
        <is>
          <t>VÄSTRA GÖTALANDS LÄN</t>
        </is>
      </c>
      <c r="G207" t="inlineStr">
        <is>
          <t>TANUM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46314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46314</v>
      </c>
      <c r="F209" t="inlineStr">
        <is>
          <t>VÄSTRA GÖTALANDS LÄN</t>
        </is>
      </c>
      <c r="G209" t="inlineStr">
        <is>
          <t>TANUM</t>
        </is>
      </c>
      <c r="H209" t="inlineStr">
        <is>
          <t>Kyrkan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46314</v>
      </c>
      <c r="F210" t="inlineStr">
        <is>
          <t>VÄSTRA GÖTALANDS LÄN</t>
        </is>
      </c>
      <c r="G210" t="inlineStr">
        <is>
          <t>TANUM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46314</v>
      </c>
      <c r="F211" t="inlineStr">
        <is>
          <t>VÄSTRA GÖTALANDS LÄN</t>
        </is>
      </c>
      <c r="G211" t="inlineStr">
        <is>
          <t>TANUM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45949</v>
      </c>
      <c r="E212" s="1" t="n">
        <v>46314</v>
      </c>
      <c r="F212" t="inlineStr">
        <is>
          <t>VÄSTRA GÖTALANDS LÄN</t>
        </is>
      </c>
      <c r="G212" t="inlineStr">
        <is>
          <t>TANUM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46314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46314</v>
      </c>
      <c r="F214" t="inlineStr">
        <is>
          <t>VÄSTRA GÖTALANDS LÄN</t>
        </is>
      </c>
      <c r="G214" t="inlineStr">
        <is>
          <t>TANUM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46314</v>
      </c>
      <c r="F215" t="inlineStr">
        <is>
          <t>VÄSTRA GÖTALANDS LÄN</t>
        </is>
      </c>
      <c r="G215" t="inlineStr">
        <is>
          <t>TANUM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46314</v>
      </c>
      <c r="F216" t="inlineStr">
        <is>
          <t>VÄSTRA GÖTALANDS LÄN</t>
        </is>
      </c>
      <c r="G216" t="inlineStr">
        <is>
          <t>TANUM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46314</v>
      </c>
      <c r="F217" t="inlineStr">
        <is>
          <t>VÄSTRA GÖTALANDS LÄN</t>
        </is>
      </c>
      <c r="G217" t="inlineStr">
        <is>
          <t>TANUM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46314</v>
      </c>
      <c r="F218" t="inlineStr">
        <is>
          <t>VÄSTRA GÖTALANDS LÄN</t>
        </is>
      </c>
      <c r="G218" t="inlineStr">
        <is>
          <t>TANUM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46314</v>
      </c>
      <c r="F219" t="inlineStr">
        <is>
          <t>VÄSTRA GÖTALANDS LÄN</t>
        </is>
      </c>
      <c r="G219" t="inlineStr">
        <is>
          <t>TANUM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66945-2021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44522</v>
      </c>
      <c r="E220" s="1" t="n">
        <v>46314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46314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45026</v>
      </c>
      <c r="E222" s="1" t="n">
        <v>46314</v>
      </c>
      <c r="F222" t="inlineStr">
        <is>
          <t>VÄSTRA GÖTALANDS LÄN</t>
        </is>
      </c>
      <c r="G222" t="inlineStr">
        <is>
          <t>TANUM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46314</v>
      </c>
      <c r="F223" t="inlineStr">
        <is>
          <t>VÄSTRA GÖTALANDS LÄN</t>
        </is>
      </c>
      <c r="G223" t="inlineStr">
        <is>
          <t>TANUM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46314</v>
      </c>
      <c r="F224" t="inlineStr">
        <is>
          <t>VÄSTRA GÖTALANDS LÄN</t>
        </is>
      </c>
      <c r="G224" t="inlineStr">
        <is>
          <t>TANUM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44946</v>
      </c>
      <c r="E225" s="1" t="n">
        <v>46314</v>
      </c>
      <c r="F225" t="inlineStr">
        <is>
          <t>VÄSTRA GÖTALANDS LÄN</t>
        </is>
      </c>
      <c r="G225" t="inlineStr">
        <is>
          <t>TANUM</t>
        </is>
      </c>
      <c r="I225" t="n">
        <v>11.4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46314</v>
      </c>
      <c r="F226" t="inlineStr">
        <is>
          <t>VÄSTRA GÖTALANDS LÄN</t>
        </is>
      </c>
      <c r="G226" t="inlineStr">
        <is>
          <t>TANUM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46314</v>
      </c>
      <c r="F227" t="inlineStr">
        <is>
          <t>VÄSTRA GÖTALANDS LÄN</t>
        </is>
      </c>
      <c r="G227" t="inlineStr">
        <is>
          <t>TANUM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44572</v>
      </c>
      <c r="E228" s="1" t="n">
        <v>46314</v>
      </c>
      <c r="F228" t="inlineStr">
        <is>
          <t>VÄSTRA GÖTALANDS LÄN</t>
        </is>
      </c>
      <c r="G228" t="inlineStr">
        <is>
          <t>TANUM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46314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46314</v>
      </c>
      <c r="F230" t="inlineStr">
        <is>
          <t>VÄSTRA GÖTALANDS LÄN</t>
        </is>
      </c>
      <c r="G230" t="inlineStr">
        <is>
          <t>TANUM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46314</v>
      </c>
      <c r="F231" t="inlineStr">
        <is>
          <t>VÄSTRA GÖTALANDS LÄN</t>
        </is>
      </c>
      <c r="G231" t="inlineStr">
        <is>
          <t>TANUM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45538</v>
      </c>
      <c r="E232" s="1" t="n">
        <v>46314</v>
      </c>
      <c r="F232" t="inlineStr">
        <is>
          <t>VÄSTRA GÖTALANDS LÄN</t>
        </is>
      </c>
      <c r="G232" t="inlineStr">
        <is>
          <t>TANUM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46241-2023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45196</v>
      </c>
      <c r="E233" s="1" t="n">
        <v>46314</v>
      </c>
      <c r="F233" t="inlineStr">
        <is>
          <t>VÄSTRA GÖTALANDS LÄN</t>
        </is>
      </c>
      <c r="G233" t="inlineStr">
        <is>
          <t>TANUM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46314</v>
      </c>
      <c r="F234" t="inlineStr">
        <is>
          <t>VÄSTRA GÖTALANDS LÄN</t>
        </is>
      </c>
      <c r="G234" t="inlineStr">
        <is>
          <t>TANUM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45739</v>
      </c>
      <c r="E235" s="1" t="n">
        <v>46314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58809-2025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45987</v>
      </c>
      <c r="E236" s="1" t="n">
        <v>46314</v>
      </c>
      <c r="F236" t="inlineStr">
        <is>
          <t>VÄSTRA GÖTALANDS LÄN</t>
        </is>
      </c>
      <c r="G236" t="inlineStr">
        <is>
          <t>TANUM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63132-2023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46314</v>
      </c>
      <c r="F237" t="inlineStr">
        <is>
          <t>VÄSTRA GÖTALANDS LÄN</t>
        </is>
      </c>
      <c r="G237" t="inlineStr">
        <is>
          <t>TANUM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46314</v>
      </c>
      <c r="F238" t="inlineStr">
        <is>
          <t>VÄSTRA GÖTALANDS LÄN</t>
        </is>
      </c>
      <c r="G238" t="inlineStr">
        <is>
          <t>TANUM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46314</v>
      </c>
      <c r="F239" t="inlineStr">
        <is>
          <t>VÄSTRA GÖTALANDS LÄN</t>
        </is>
      </c>
      <c r="G239" t="inlineStr">
        <is>
          <t>TANUM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45454</v>
      </c>
      <c r="E240" s="1" t="n">
        <v>46314</v>
      </c>
      <c r="F240" t="inlineStr">
        <is>
          <t>VÄSTRA GÖTALANDS LÄN</t>
        </is>
      </c>
      <c r="G240" t="inlineStr">
        <is>
          <t>TANUM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45311</v>
      </c>
      <c r="E241" s="1" t="n">
        <v>46314</v>
      </c>
      <c r="F241" t="inlineStr">
        <is>
          <t>VÄSTRA GÖTALANDS LÄN</t>
        </is>
      </c>
      <c r="G241" t="inlineStr">
        <is>
          <t>TANUM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45698</v>
      </c>
      <c r="E242" s="1" t="n">
        <v>46314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45085</v>
      </c>
      <c r="E243" s="1" t="n">
        <v>46314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46314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46314</v>
      </c>
      <c r="F245" t="inlineStr">
        <is>
          <t>VÄSTRA GÖTALANDS LÄN</t>
        </is>
      </c>
      <c r="G245" t="inlineStr">
        <is>
          <t>TANUM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46314</v>
      </c>
      <c r="F246" t="inlineStr">
        <is>
          <t>VÄSTRA GÖTALANDS LÄN</t>
        </is>
      </c>
      <c r="G246" t="inlineStr">
        <is>
          <t>TANUM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46314</v>
      </c>
      <c r="F247" t="inlineStr">
        <is>
          <t>VÄSTRA GÖTALANDS LÄN</t>
        </is>
      </c>
      <c r="G247" t="inlineStr">
        <is>
          <t>TANUM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46314</v>
      </c>
      <c r="F248" t="inlineStr">
        <is>
          <t>VÄSTRA GÖTALANDS LÄN</t>
        </is>
      </c>
      <c r="G248" t="inlineStr">
        <is>
          <t>TANUM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30322-2026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46207</v>
      </c>
      <c r="E249" s="1" t="n">
        <v>46314</v>
      </c>
      <c r="F249" t="inlineStr">
        <is>
          <t>VÄSTRA GÖTALANDS LÄN</t>
        </is>
      </c>
      <c r="G249" t="inlineStr">
        <is>
          <t>TANUM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44807</v>
      </c>
      <c r="E250" s="1" t="n">
        <v>46314</v>
      </c>
      <c r="F250" t="inlineStr">
        <is>
          <t>VÄSTRA GÖTALANDS LÄN</t>
        </is>
      </c>
      <c r="G250" t="inlineStr">
        <is>
          <t>TANUM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44944</v>
      </c>
      <c r="E251" s="1" t="n">
        <v>46314</v>
      </c>
      <c r="F251" t="inlineStr">
        <is>
          <t>VÄSTRA GÖTALANDS LÄN</t>
        </is>
      </c>
      <c r="G251" t="inlineStr">
        <is>
          <t>TANUM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45756</v>
      </c>
      <c r="E252" s="1" t="n">
        <v>46314</v>
      </c>
      <c r="F252" t="inlineStr">
        <is>
          <t>VÄSTRA GÖTALANDS LÄN</t>
        </is>
      </c>
      <c r="G252" t="inlineStr">
        <is>
          <t>TANUM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45303</v>
      </c>
      <c r="E253" s="1" t="n">
        <v>46314</v>
      </c>
      <c r="F253" t="inlineStr">
        <is>
          <t>VÄSTRA GÖTALANDS LÄN</t>
        </is>
      </c>
      <c r="G253" t="inlineStr">
        <is>
          <t>TANUM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45303</v>
      </c>
      <c r="E254" s="1" t="n">
        <v>46314</v>
      </c>
      <c r="F254" t="inlineStr">
        <is>
          <t>VÄSTRA GÖTALANDS LÄN</t>
        </is>
      </c>
      <c r="G254" t="inlineStr">
        <is>
          <t>TANUM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45595</v>
      </c>
      <c r="E255" s="1" t="n">
        <v>46314</v>
      </c>
      <c r="F255" t="inlineStr">
        <is>
          <t>VÄSTRA GÖTALANDS LÄN</t>
        </is>
      </c>
      <c r="G255" t="inlineStr">
        <is>
          <t>TANUM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46314</v>
      </c>
      <c r="F256" t="inlineStr">
        <is>
          <t>VÄSTRA GÖTALANDS LÄN</t>
        </is>
      </c>
      <c r="G256" t="inlineStr">
        <is>
          <t>TANUM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46314</v>
      </c>
      <c r="F257" t="inlineStr">
        <is>
          <t>VÄSTRA GÖTALANDS LÄN</t>
        </is>
      </c>
      <c r="G257" t="inlineStr">
        <is>
          <t>TANUM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46314</v>
      </c>
      <c r="F258" t="inlineStr">
        <is>
          <t>VÄSTRA GÖTALANDS LÄN</t>
        </is>
      </c>
      <c r="G258" t="inlineStr">
        <is>
          <t>TANUM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46314</v>
      </c>
      <c r="F259" t="inlineStr">
        <is>
          <t>VÄSTRA GÖTALANDS LÄN</t>
        </is>
      </c>
      <c r="G259" t="inlineStr">
        <is>
          <t>TANUM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45265</v>
      </c>
      <c r="E260" s="1" t="n">
        <v>46314</v>
      </c>
      <c r="F260" t="inlineStr">
        <is>
          <t>VÄSTRA GÖTALANDS LÄN</t>
        </is>
      </c>
      <c r="G260" t="inlineStr">
        <is>
          <t>TANUM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46314</v>
      </c>
      <c r="F261" t="inlineStr">
        <is>
          <t>VÄSTRA GÖTALANDS LÄN</t>
        </is>
      </c>
      <c r="G261" t="inlineStr">
        <is>
          <t>TANUM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46314</v>
      </c>
      <c r="F262" t="inlineStr">
        <is>
          <t>VÄSTRA GÖTALANDS LÄN</t>
        </is>
      </c>
      <c r="G262" t="inlineStr">
        <is>
          <t>TANUM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70979-2021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44538</v>
      </c>
      <c r="E263" s="1" t="n">
        <v>46314</v>
      </c>
      <c r="F263" t="inlineStr">
        <is>
          <t>VÄSTRA GÖTALANDS LÄN</t>
        </is>
      </c>
      <c r="G263" t="inlineStr">
        <is>
          <t>TANUM</t>
        </is>
      </c>
      <c r="I263" t="n">
        <v>19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46314</v>
      </c>
      <c r="F264" t="inlineStr">
        <is>
          <t>VÄSTRA GÖTALANDS LÄN</t>
        </is>
      </c>
      <c r="G264" t="inlineStr">
        <is>
          <t>TANUM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46314</v>
      </c>
      <c r="F265" t="inlineStr">
        <is>
          <t>VÄSTRA GÖTALANDS LÄN</t>
        </is>
      </c>
      <c r="G265" t="inlineStr">
        <is>
          <t>TANUM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46314</v>
      </c>
      <c r="F266" t="inlineStr">
        <is>
          <t>VÄSTRA GÖTALANDS LÄN</t>
        </is>
      </c>
      <c r="G266" t="inlineStr">
        <is>
          <t>TANUM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46314</v>
      </c>
      <c r="F267" t="inlineStr">
        <is>
          <t>VÄSTRA GÖTALANDS LÄN</t>
        </is>
      </c>
      <c r="G267" t="inlineStr">
        <is>
          <t>TANUM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46314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45303</v>
      </c>
      <c r="E269" s="1" t="n">
        <v>46314</v>
      </c>
      <c r="F269" t="inlineStr">
        <is>
          <t>VÄSTRA GÖTALANDS LÄN</t>
        </is>
      </c>
      <c r="G269" t="inlineStr">
        <is>
          <t>TANUM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46314</v>
      </c>
      <c r="F270" t="inlineStr">
        <is>
          <t>VÄSTRA GÖTALANDS LÄN</t>
        </is>
      </c>
      <c r="G270" t="inlineStr">
        <is>
          <t>TANUM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45599</v>
      </c>
      <c r="E271" s="1" t="n">
        <v>46314</v>
      </c>
      <c r="F271" t="inlineStr">
        <is>
          <t>VÄSTRA GÖTALANDS LÄN</t>
        </is>
      </c>
      <c r="G271" t="inlineStr">
        <is>
          <t>TANUM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46314</v>
      </c>
      <c r="F272" t="inlineStr">
        <is>
          <t>VÄSTRA GÖTALANDS LÄN</t>
        </is>
      </c>
      <c r="G272" t="inlineStr">
        <is>
          <t>TANUM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46314</v>
      </c>
      <c r="F273" t="inlineStr">
        <is>
          <t>VÄSTRA GÖTALANDS LÄN</t>
        </is>
      </c>
      <c r="G273" t="inlineStr">
        <is>
          <t>TANUM</t>
        </is>
      </c>
      <c r="H273" t="inlineStr">
        <is>
          <t>Kommuner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46314</v>
      </c>
      <c r="F274" t="inlineStr">
        <is>
          <t>VÄSTRA GÖTALANDS LÄN</t>
        </is>
      </c>
      <c r="G274" t="inlineStr">
        <is>
          <t>TANUM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46314</v>
      </c>
      <c r="F275" t="inlineStr">
        <is>
          <t>VÄSTRA GÖTALANDS LÄN</t>
        </is>
      </c>
      <c r="G275" t="inlineStr">
        <is>
          <t>TANUM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25321-2026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46176</v>
      </c>
      <c r="E276" s="1" t="n">
        <v>46314</v>
      </c>
      <c r="F276" t="inlineStr">
        <is>
          <t>VÄSTRA GÖTALANDS LÄN</t>
        </is>
      </c>
      <c r="G276" t="inlineStr">
        <is>
          <t>TANUM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46314</v>
      </c>
      <c r="F277" t="inlineStr">
        <is>
          <t>VÄSTRA GÖTALANDS LÄN</t>
        </is>
      </c>
      <c r="G277" t="inlineStr">
        <is>
          <t>TANUM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46314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46314</v>
      </c>
      <c r="F279" t="inlineStr">
        <is>
          <t>VÄSTRA GÖTALANDS LÄN</t>
        </is>
      </c>
      <c r="G279" t="inlineStr">
        <is>
          <t>TANUM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46314</v>
      </c>
      <c r="F280" t="inlineStr">
        <is>
          <t>VÄSTRA GÖTALANDS LÄN</t>
        </is>
      </c>
      <c r="G280" t="inlineStr">
        <is>
          <t>TANUM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46314</v>
      </c>
      <c r="F281" t="inlineStr">
        <is>
          <t>VÄSTRA GÖTALANDS LÄN</t>
        </is>
      </c>
      <c r="G281" t="inlineStr">
        <is>
          <t>TANUM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46314</v>
      </c>
      <c r="F282" t="inlineStr">
        <is>
          <t>VÄSTRA GÖTALANDS LÄN</t>
        </is>
      </c>
      <c r="G282" t="inlineStr">
        <is>
          <t>TANUM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46314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46314</v>
      </c>
      <c r="F284" t="inlineStr">
        <is>
          <t>VÄSTRA GÖTALANDS LÄN</t>
        </is>
      </c>
      <c r="G284" t="inlineStr">
        <is>
          <t>TANUM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46314</v>
      </c>
      <c r="F285" t="inlineStr">
        <is>
          <t>VÄSTRA GÖTALANDS LÄN</t>
        </is>
      </c>
      <c r="G285" t="inlineStr">
        <is>
          <t>TANUM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46314</v>
      </c>
      <c r="F286" t="inlineStr">
        <is>
          <t>VÄSTRA GÖTALANDS LÄN</t>
        </is>
      </c>
      <c r="G286" t="inlineStr">
        <is>
          <t>TANUM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46314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46314</v>
      </c>
      <c r="F288" t="inlineStr">
        <is>
          <t>VÄSTRA GÖTALANDS LÄN</t>
        </is>
      </c>
      <c r="G288" t="inlineStr">
        <is>
          <t>TANUM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46314</v>
      </c>
      <c r="F289" t="inlineStr">
        <is>
          <t>VÄSTRA GÖTALANDS LÄN</t>
        </is>
      </c>
      <c r="G289" t="inlineStr">
        <is>
          <t>TANUM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46314</v>
      </c>
      <c r="F290" t="inlineStr">
        <is>
          <t>VÄSTRA GÖTALANDS LÄN</t>
        </is>
      </c>
      <c r="G290" t="inlineStr">
        <is>
          <t>TANUM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46314</v>
      </c>
      <c r="F291" t="inlineStr">
        <is>
          <t>VÄSTRA GÖTALANDS LÄN</t>
        </is>
      </c>
      <c r="G291" t="inlineStr">
        <is>
          <t>TANUM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46314</v>
      </c>
      <c r="F292" t="inlineStr">
        <is>
          <t>VÄSTRA GÖTALANDS LÄN</t>
        </is>
      </c>
      <c r="G292" t="inlineStr">
        <is>
          <t>TANUM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46314</v>
      </c>
      <c r="F293" t="inlineStr">
        <is>
          <t>VÄSTRA GÖTALANDS LÄN</t>
        </is>
      </c>
      <c r="G293" t="inlineStr">
        <is>
          <t>TANUM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44894-2023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46314</v>
      </c>
      <c r="F294" t="inlineStr">
        <is>
          <t>VÄSTRA GÖTALANDS LÄN</t>
        </is>
      </c>
      <c r="G294" t="inlineStr">
        <is>
          <t>TANUM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46314</v>
      </c>
      <c r="F295" t="inlineStr">
        <is>
          <t>VÄSTRA GÖTALANDS LÄN</t>
        </is>
      </c>
      <c r="G295" t="inlineStr">
        <is>
          <t>TANUM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46314</v>
      </c>
      <c r="F296" t="inlineStr">
        <is>
          <t>VÄSTRA GÖTALANDS LÄN</t>
        </is>
      </c>
      <c r="G296" t="inlineStr">
        <is>
          <t>TANUM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46314</v>
      </c>
      <c r="F297" t="inlineStr">
        <is>
          <t>VÄSTRA GÖTALANDS LÄN</t>
        </is>
      </c>
      <c r="G297" t="inlineStr">
        <is>
          <t>TANUM</t>
        </is>
      </c>
      <c r="H297" t="inlineStr">
        <is>
          <t>Kyrkan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46314</v>
      </c>
      <c r="F298" t="inlineStr">
        <is>
          <t>VÄSTRA GÖTALANDS LÄN</t>
        </is>
      </c>
      <c r="G298" t="inlineStr">
        <is>
          <t>TANUM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44929</v>
      </c>
      <c r="E299" s="1" t="n">
        <v>46314</v>
      </c>
      <c r="F299" t="inlineStr">
        <is>
          <t>VÄSTRA GÖTALANDS LÄN</t>
        </is>
      </c>
      <c r="G299" t="inlineStr">
        <is>
          <t>TANUM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46314</v>
      </c>
      <c r="F300" t="inlineStr">
        <is>
          <t>VÄSTRA GÖTALANDS LÄN</t>
        </is>
      </c>
      <c r="G300" t="inlineStr">
        <is>
          <t>TANUM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45655</v>
      </c>
      <c r="E301" s="1" t="n">
        <v>46314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44585</v>
      </c>
      <c r="E302" s="1" t="n">
        <v>46314</v>
      </c>
      <c r="F302" t="inlineStr">
        <is>
          <t>VÄSTRA GÖTALANDS LÄN</t>
        </is>
      </c>
      <c r="G302" t="inlineStr">
        <is>
          <t>TANUM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45236</v>
      </c>
      <c r="E303" s="1" t="n">
        <v>46314</v>
      </c>
      <c r="F303" t="inlineStr">
        <is>
          <t>VÄSTRA GÖTALANDS LÄN</t>
        </is>
      </c>
      <c r="G303" t="inlineStr">
        <is>
          <t>TANUM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46314</v>
      </c>
      <c r="F304" t="inlineStr">
        <is>
          <t>VÄSTRA GÖTALANDS LÄN</t>
        </is>
      </c>
      <c r="G304" t="inlineStr">
        <is>
          <t>TANUM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45761</v>
      </c>
      <c r="E305" s="1" t="n">
        <v>46314</v>
      </c>
      <c r="F305" t="inlineStr">
        <is>
          <t>VÄSTRA GÖTALANDS LÄN</t>
        </is>
      </c>
      <c r="G305" t="inlineStr">
        <is>
          <t>TANUM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46314</v>
      </c>
      <c r="F306" t="inlineStr">
        <is>
          <t>VÄSTRA GÖTALANDS LÄN</t>
        </is>
      </c>
      <c r="G306" t="inlineStr">
        <is>
          <t>TANUM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44719</v>
      </c>
      <c r="E307" s="1" t="n">
        <v>46314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13423-2024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45387</v>
      </c>
      <c r="E308" s="1" t="n">
        <v>46314</v>
      </c>
      <c r="F308" t="inlineStr">
        <is>
          <t>VÄSTRA GÖTALANDS LÄN</t>
        </is>
      </c>
      <c r="G308" t="inlineStr">
        <is>
          <t>TANUM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46314</v>
      </c>
      <c r="F309" t="inlineStr">
        <is>
          <t>VÄSTRA GÖTALANDS LÄN</t>
        </is>
      </c>
      <c r="G309" t="inlineStr">
        <is>
          <t>TANUM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46314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46314</v>
      </c>
      <c r="F311" t="inlineStr">
        <is>
          <t>VÄSTRA GÖTALANDS LÄN</t>
        </is>
      </c>
      <c r="G311" t="inlineStr">
        <is>
          <t>TANUM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11809-2026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46085</v>
      </c>
      <c r="E312" s="1" t="n">
        <v>46314</v>
      </c>
      <c r="F312" t="inlineStr">
        <is>
          <t>VÄSTRA GÖTALANDS LÄN</t>
        </is>
      </c>
      <c r="G312" t="inlineStr">
        <is>
          <t>TANUM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46190</v>
      </c>
      <c r="E313" s="1" t="n">
        <v>46314</v>
      </c>
      <c r="F313" t="inlineStr">
        <is>
          <t>VÄSTRA GÖTALANDS LÄN</t>
        </is>
      </c>
      <c r="G313" t="inlineStr">
        <is>
          <t>TANUM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46314</v>
      </c>
      <c r="F314" t="inlineStr">
        <is>
          <t>VÄSTRA GÖTALANDS LÄN</t>
        </is>
      </c>
      <c r="G314" t="inlineStr">
        <is>
          <t>TANUM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24100-2022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44725</v>
      </c>
      <c r="E315" s="1" t="n">
        <v>46314</v>
      </c>
      <c r="F315" t="inlineStr">
        <is>
          <t>VÄSTRA GÖTALANDS LÄN</t>
        </is>
      </c>
      <c r="G315" t="inlineStr">
        <is>
          <t>TANUM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46314</v>
      </c>
      <c r="F316" t="inlineStr">
        <is>
          <t>VÄSTRA GÖTALANDS LÄN</t>
        </is>
      </c>
      <c r="G316" t="inlineStr">
        <is>
          <t>TANUM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46314</v>
      </c>
      <c r="F317" t="inlineStr">
        <is>
          <t>VÄSTRA GÖTALANDS LÄN</t>
        </is>
      </c>
      <c r="G317" t="inlineStr">
        <is>
          <t>TANUM</t>
        </is>
      </c>
      <c r="H317" t="inlineStr">
        <is>
          <t>Kyrkan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46314</v>
      </c>
      <c r="F318" t="inlineStr">
        <is>
          <t>VÄSTRA GÖTALANDS LÄN</t>
        </is>
      </c>
      <c r="G318" t="inlineStr">
        <is>
          <t>TANUM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46314</v>
      </c>
      <c r="F319" t="inlineStr">
        <is>
          <t>VÄSTRA GÖTALANDS LÄN</t>
        </is>
      </c>
      <c r="G319" t="inlineStr">
        <is>
          <t>TANUM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46314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72223-2021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44544</v>
      </c>
      <c r="E321" s="1" t="n">
        <v>46314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46314</v>
      </c>
      <c r="F322" t="inlineStr">
        <is>
          <t>VÄSTRA GÖTALANDS LÄN</t>
        </is>
      </c>
      <c r="G322" t="inlineStr">
        <is>
          <t>TANUM</t>
        </is>
      </c>
      <c r="H322" t="inlineStr">
        <is>
          <t>Sveaskog</t>
        </is>
      </c>
      <c r="I322" t="n">
        <v>12.2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46314</v>
      </c>
      <c r="F323" t="inlineStr">
        <is>
          <t>VÄSTRA GÖTALANDS LÄN</t>
        </is>
      </c>
      <c r="G323" t="inlineStr">
        <is>
          <t>TANUM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46100</v>
      </c>
      <c r="E324" s="1" t="n">
        <v>46314</v>
      </c>
      <c r="F324" t="inlineStr">
        <is>
          <t>VÄSTRA GÖTALANDS LÄN</t>
        </is>
      </c>
      <c r="G324" t="inlineStr">
        <is>
          <t>TANUM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44969</v>
      </c>
      <c r="E325" s="1" t="n">
        <v>46314</v>
      </c>
      <c r="F325" t="inlineStr">
        <is>
          <t>VÄSTRA GÖTALANDS LÄN</t>
        </is>
      </c>
      <c r="G325" t="inlineStr">
        <is>
          <t>TANUM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45273</v>
      </c>
      <c r="E326" s="1" t="n">
        <v>46314</v>
      </c>
      <c r="F326" t="inlineStr">
        <is>
          <t>VÄSTRA GÖTALANDS LÄN</t>
        </is>
      </c>
      <c r="G326" t="inlineStr">
        <is>
          <t>TANUM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45374</v>
      </c>
      <c r="E327" s="1" t="n">
        <v>46314</v>
      </c>
      <c r="F327" t="inlineStr">
        <is>
          <t>VÄSTRA GÖTALANDS LÄN</t>
        </is>
      </c>
      <c r="G327" t="inlineStr">
        <is>
          <t>TANUM</t>
        </is>
      </c>
      <c r="I327" t="n">
        <v>12.4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45525</v>
      </c>
      <c r="E328" s="1" t="n">
        <v>46314</v>
      </c>
      <c r="F328" t="inlineStr">
        <is>
          <t>VÄSTRA GÖTALANDS LÄN</t>
        </is>
      </c>
      <c r="G328" t="inlineStr">
        <is>
          <t>TANUM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46314</v>
      </c>
      <c r="F329" t="inlineStr">
        <is>
          <t>VÄSTRA GÖTALANDS LÄN</t>
        </is>
      </c>
      <c r="G329" t="inlineStr">
        <is>
          <t>TANUM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45355</v>
      </c>
      <c r="E330" s="1" t="n">
        <v>46314</v>
      </c>
      <c r="F330" t="inlineStr">
        <is>
          <t>VÄSTRA GÖTALANDS LÄN</t>
        </is>
      </c>
      <c r="G330" t="inlineStr">
        <is>
          <t>TANUM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45102</v>
      </c>
      <c r="E331" s="1" t="n">
        <v>46314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45023</v>
      </c>
      <c r="E332" s="1" t="n">
        <v>46314</v>
      </c>
      <c r="F332" t="inlineStr">
        <is>
          <t>VÄSTRA GÖTALANDS LÄN</t>
        </is>
      </c>
      <c r="G332" t="inlineStr">
        <is>
          <t>TANUM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46314</v>
      </c>
      <c r="F333" t="inlineStr">
        <is>
          <t>VÄSTRA GÖTALANDS LÄN</t>
        </is>
      </c>
      <c r="G333" t="inlineStr">
        <is>
          <t>TANUM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46125</v>
      </c>
      <c r="E334" s="1" t="n">
        <v>46314</v>
      </c>
      <c r="F334" t="inlineStr">
        <is>
          <t>VÄSTRA GÖTALANDS LÄN</t>
        </is>
      </c>
      <c r="G334" t="inlineStr">
        <is>
          <t>TANUM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46314</v>
      </c>
      <c r="F335" t="inlineStr">
        <is>
          <t>VÄSTRA GÖTALANDS LÄN</t>
        </is>
      </c>
      <c r="G335" t="inlineStr">
        <is>
          <t>TANUM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44573</v>
      </c>
      <c r="E336" s="1" t="n">
        <v>46314</v>
      </c>
      <c r="F336" t="inlineStr">
        <is>
          <t>VÄSTRA GÖTALANDS LÄN</t>
        </is>
      </c>
      <c r="G336" t="inlineStr">
        <is>
          <t>TANUM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63198-2025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46314</v>
      </c>
      <c r="F337" t="inlineStr">
        <is>
          <t>VÄSTRA GÖTALANDS LÄN</t>
        </is>
      </c>
      <c r="G337" t="inlineStr">
        <is>
          <t>TANUM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64066-2023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45279</v>
      </c>
      <c r="E338" s="1" t="n">
        <v>46314</v>
      </c>
      <c r="F338" t="inlineStr">
        <is>
          <t>VÄSTRA GÖTALANDS LÄN</t>
        </is>
      </c>
      <c r="G338" t="inlineStr">
        <is>
          <t>TANUM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48302-2022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44858</v>
      </c>
      <c r="E339" s="1" t="n">
        <v>46314</v>
      </c>
      <c r="F339" t="inlineStr">
        <is>
          <t>VÄSTRA GÖTALANDS LÄN</t>
        </is>
      </c>
      <c r="G339" t="inlineStr">
        <is>
          <t>TANUM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45026</v>
      </c>
      <c r="E340" s="1" t="n">
        <v>46314</v>
      </c>
      <c r="F340" t="inlineStr">
        <is>
          <t>VÄSTRA GÖTALANDS LÄN</t>
        </is>
      </c>
      <c r="G340" t="inlineStr">
        <is>
          <t>TANUM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46314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46314</v>
      </c>
      <c r="F342" t="inlineStr">
        <is>
          <t>VÄSTRA GÖTALANDS LÄN</t>
        </is>
      </c>
      <c r="G342" t="inlineStr">
        <is>
          <t>TANUM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35599-2022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44799</v>
      </c>
      <c r="E343" s="1" t="n">
        <v>46314</v>
      </c>
      <c r="F343" t="inlineStr">
        <is>
          <t>VÄSTRA GÖTALANDS LÄN</t>
        </is>
      </c>
      <c r="G343" t="inlineStr">
        <is>
          <t>TANUM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46314</v>
      </c>
      <c r="F344" t="inlineStr">
        <is>
          <t>VÄSTRA GÖTALANDS LÄN</t>
        </is>
      </c>
      <c r="G344" t="inlineStr">
        <is>
          <t>TANUM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46314</v>
      </c>
      <c r="F345" t="inlineStr">
        <is>
          <t>VÄSTRA GÖTALANDS LÄN</t>
        </is>
      </c>
      <c r="G345" t="inlineStr">
        <is>
          <t>TANUM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45597</v>
      </c>
      <c r="E346" s="1" t="n">
        <v>46314</v>
      </c>
      <c r="F346" t="inlineStr">
        <is>
          <t>VÄSTRA GÖTALANDS LÄN</t>
        </is>
      </c>
      <c r="G346" t="inlineStr">
        <is>
          <t>TANUM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46314</v>
      </c>
      <c r="F347" t="inlineStr">
        <is>
          <t>VÄSTRA GÖTALANDS LÄN</t>
        </is>
      </c>
      <c r="G347" t="inlineStr">
        <is>
          <t>TANUM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45400</v>
      </c>
      <c r="E348" s="1" t="n">
        <v>46314</v>
      </c>
      <c r="F348" t="inlineStr">
        <is>
          <t>VÄSTRA GÖTALANDS LÄN</t>
        </is>
      </c>
      <c r="G348" t="inlineStr">
        <is>
          <t>TANUM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10896-2025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45722</v>
      </c>
      <c r="E349" s="1" t="n">
        <v>46314</v>
      </c>
      <c r="F349" t="inlineStr">
        <is>
          <t>VÄSTRA GÖTALANDS LÄN</t>
        </is>
      </c>
      <c r="G349" t="inlineStr">
        <is>
          <t>TANUM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51812-2022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44872</v>
      </c>
      <c r="E350" s="1" t="n">
        <v>46314</v>
      </c>
      <c r="F350" t="inlineStr">
        <is>
          <t>VÄSTRA GÖTALANDS LÄN</t>
        </is>
      </c>
      <c r="G350" t="inlineStr">
        <is>
          <t>TANUM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46314</v>
      </c>
      <c r="F351" t="inlineStr">
        <is>
          <t>VÄSTRA GÖTALANDS LÄN</t>
        </is>
      </c>
      <c r="G351" t="inlineStr">
        <is>
          <t>TANUM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44832</v>
      </c>
      <c r="E352" s="1" t="n">
        <v>46314</v>
      </c>
      <c r="F352" t="inlineStr">
        <is>
          <t>VÄSTRA GÖTALANDS LÄN</t>
        </is>
      </c>
      <c r="G352" t="inlineStr">
        <is>
          <t>TANUM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45260</v>
      </c>
      <c r="E353" s="1" t="n">
        <v>46314</v>
      </c>
      <c r="F353" t="inlineStr">
        <is>
          <t>VÄSTRA GÖTALANDS LÄN</t>
        </is>
      </c>
      <c r="G353" t="inlineStr">
        <is>
          <t>TANUM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46209</v>
      </c>
      <c r="E354" s="1" t="n">
        <v>46314</v>
      </c>
      <c r="F354" t="inlineStr">
        <is>
          <t>VÄSTRA GÖTALANDS LÄN</t>
        </is>
      </c>
      <c r="G354" t="inlineStr">
        <is>
          <t>TANUM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45384</v>
      </c>
      <c r="E355" s="1" t="n">
        <v>46314</v>
      </c>
      <c r="F355" t="inlineStr">
        <is>
          <t>VÄSTRA GÖTALANDS LÄN</t>
        </is>
      </c>
      <c r="G355" t="inlineStr">
        <is>
          <t>TANUM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45272</v>
      </c>
      <c r="E356" s="1" t="n">
        <v>46314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44601</v>
      </c>
      <c r="E357" s="1" t="n">
        <v>46314</v>
      </c>
      <c r="F357" t="inlineStr">
        <is>
          <t>VÄSTRA GÖTALANDS LÄN</t>
        </is>
      </c>
      <c r="G357" t="inlineStr">
        <is>
          <t>TANUM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45575</v>
      </c>
      <c r="E358" s="1" t="n">
        <v>46314</v>
      </c>
      <c r="F358" t="inlineStr">
        <is>
          <t>VÄSTRA GÖTALANDS LÄN</t>
        </is>
      </c>
      <c r="G358" t="inlineStr">
        <is>
          <t>TANUM</t>
        </is>
      </c>
      <c r="H358" t="inlineStr">
        <is>
          <t>Naturvårdsverket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44591</v>
      </c>
      <c r="E359" s="1" t="n">
        <v>46314</v>
      </c>
      <c r="F359" t="inlineStr">
        <is>
          <t>VÄSTRA GÖTALANDS LÄN</t>
        </is>
      </c>
      <c r="G359" t="inlineStr">
        <is>
          <t>TANUM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46231</v>
      </c>
      <c r="E360" s="1" t="n">
        <v>46314</v>
      </c>
      <c r="F360" t="inlineStr">
        <is>
          <t>VÄSTRA GÖTALANDS LÄN</t>
        </is>
      </c>
      <c r="G360" t="inlineStr">
        <is>
          <t>TANUM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31968-2026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46231</v>
      </c>
      <c r="E361" s="1" t="n">
        <v>46314</v>
      </c>
      <c r="F361" t="inlineStr">
        <is>
          <t>VÄSTRA GÖTALANDS LÄN</t>
        </is>
      </c>
      <c r="G361" t="inlineStr">
        <is>
          <t>TANUM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45309</v>
      </c>
      <c r="E362" s="1" t="n">
        <v>46314</v>
      </c>
      <c r="F362" t="inlineStr">
        <is>
          <t>VÄSTRA GÖTALANDS LÄN</t>
        </is>
      </c>
      <c r="G362" t="inlineStr">
        <is>
          <t>TANUM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46273</v>
      </c>
      <c r="E363" s="1" t="n">
        <v>46314</v>
      </c>
      <c r="F363" t="inlineStr">
        <is>
          <t>VÄSTRA GÖTALANDS LÄN</t>
        </is>
      </c>
      <c r="G363" t="inlineStr">
        <is>
          <t>TANUM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46272</v>
      </c>
      <c r="E364" s="1" t="n">
        <v>46314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46272</v>
      </c>
      <c r="E365" s="1" t="n">
        <v>46314</v>
      </c>
      <c r="F365" t="inlineStr">
        <is>
          <t>VÄSTRA GÖTALANDS LÄN</t>
        </is>
      </c>
      <c r="G365" t="inlineStr">
        <is>
          <t>TANUM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46272</v>
      </c>
      <c r="E366" s="1" t="n">
        <v>46314</v>
      </c>
      <c r="F366" t="inlineStr">
        <is>
          <t>VÄSTRA GÖTALANDS LÄN</t>
        </is>
      </c>
      <c r="G366" t="inlineStr">
        <is>
          <t>TANUM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46273</v>
      </c>
      <c r="E367" s="1" t="n">
        <v>46314</v>
      </c>
      <c r="F367" t="inlineStr">
        <is>
          <t>VÄSTRA GÖTALANDS LÄN</t>
        </is>
      </c>
      <c r="G367" t="inlineStr">
        <is>
          <t>TANUM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46314</v>
      </c>
      <c r="F368" t="inlineStr">
        <is>
          <t>VÄSTRA GÖTALANDS LÄN</t>
        </is>
      </c>
      <c r="G368" t="inlineStr">
        <is>
          <t>TANUM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60351-2023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46314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45278</v>
      </c>
      <c r="E370" s="1" t="n">
        <v>46314</v>
      </c>
      <c r="F370" t="inlineStr">
        <is>
          <t>VÄSTRA GÖTALANDS LÄN</t>
        </is>
      </c>
      <c r="G370" t="inlineStr">
        <is>
          <t>TANUM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57029-2024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45628</v>
      </c>
      <c r="E371" s="1" t="n">
        <v>46314</v>
      </c>
      <c r="F371" t="inlineStr">
        <is>
          <t>VÄSTRA GÖTALANDS LÄN</t>
        </is>
      </c>
      <c r="G371" t="inlineStr">
        <is>
          <t>TANUM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46314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45659</v>
      </c>
      <c r="E373" s="1" t="n">
        <v>46314</v>
      </c>
      <c r="F373" t="inlineStr">
        <is>
          <t>VÄSTRA GÖTALANDS LÄN</t>
        </is>
      </c>
      <c r="G373" t="inlineStr">
        <is>
          <t>TANUM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44817</v>
      </c>
      <c r="E374" s="1" t="n">
        <v>46314</v>
      </c>
      <c r="F374" t="inlineStr">
        <is>
          <t>VÄSTRA GÖTALANDS LÄN</t>
        </is>
      </c>
      <c r="G374" t="inlineStr">
        <is>
          <t>TANUM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46314</v>
      </c>
      <c r="F375" t="inlineStr">
        <is>
          <t>VÄSTRA GÖTALANDS LÄN</t>
        </is>
      </c>
      <c r="G375" t="inlineStr">
        <is>
          <t>TANUM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45271</v>
      </c>
      <c r="E376" s="1" t="n">
        <v>46314</v>
      </c>
      <c r="F376" t="inlineStr">
        <is>
          <t>VÄSTRA GÖTALANDS LÄN</t>
        </is>
      </c>
      <c r="G376" t="inlineStr">
        <is>
          <t>TANUM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56379-2022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44890</v>
      </c>
      <c r="E377" s="1" t="n">
        <v>46314</v>
      </c>
      <c r="F377" t="inlineStr">
        <is>
          <t>VÄSTRA GÖTALANDS LÄN</t>
        </is>
      </c>
      <c r="G377" t="inlineStr">
        <is>
          <t>TANUM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14269-2022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44651</v>
      </c>
      <c r="E378" s="1" t="n">
        <v>46314</v>
      </c>
      <c r="F378" t="inlineStr">
        <is>
          <t>VÄSTRA GÖTALANDS LÄN</t>
        </is>
      </c>
      <c r="G378" t="inlineStr">
        <is>
          <t>TANUM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45035</v>
      </c>
      <c r="E379" s="1" t="n">
        <v>46314</v>
      </c>
      <c r="F379" t="inlineStr">
        <is>
          <t>VÄSTRA GÖTALANDS LÄN</t>
        </is>
      </c>
      <c r="G379" t="inlineStr">
        <is>
          <t>TANUM</t>
        </is>
      </c>
      <c r="H379" t="inlineStr">
        <is>
          <t>Kyrkan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49687-2024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45596</v>
      </c>
      <c r="E380" s="1" t="n">
        <v>46314</v>
      </c>
      <c r="F380" t="inlineStr">
        <is>
          <t>VÄSTRA GÖTALANDS LÄN</t>
        </is>
      </c>
      <c r="G380" t="inlineStr">
        <is>
          <t>TANUM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45463</v>
      </c>
      <c r="E381" s="1" t="n">
        <v>46314</v>
      </c>
      <c r="F381" t="inlineStr">
        <is>
          <t>VÄSTRA GÖTALANDS LÄN</t>
        </is>
      </c>
      <c r="G381" t="inlineStr">
        <is>
          <t>TANUM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46314</v>
      </c>
      <c r="F382" t="inlineStr">
        <is>
          <t>VÄSTRA GÖTALANDS LÄN</t>
        </is>
      </c>
      <c r="G382" t="inlineStr">
        <is>
          <t>TANUM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46240</v>
      </c>
      <c r="E383" s="1" t="n">
        <v>46314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46314</v>
      </c>
      <c r="F384" t="inlineStr">
        <is>
          <t>VÄSTRA GÖTALANDS LÄN</t>
        </is>
      </c>
      <c r="G384" t="inlineStr">
        <is>
          <t>TANUM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46241</v>
      </c>
      <c r="E385" s="1" t="n">
        <v>46314</v>
      </c>
      <c r="F385" t="inlineStr">
        <is>
          <t>VÄSTRA GÖTALANDS LÄN</t>
        </is>
      </c>
      <c r="G385" t="inlineStr">
        <is>
          <t>TANUM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46314</v>
      </c>
      <c r="F386" t="inlineStr">
        <is>
          <t>VÄSTRA GÖTALANDS LÄN</t>
        </is>
      </c>
      <c r="G386" t="inlineStr">
        <is>
          <t>TANUM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46314</v>
      </c>
      <c r="F387" t="inlineStr">
        <is>
          <t>VÄSTRA GÖTALANDS LÄN</t>
        </is>
      </c>
      <c r="G387" t="inlineStr">
        <is>
          <t>TANUM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45392</v>
      </c>
      <c r="E388" s="1" t="n">
        <v>46314</v>
      </c>
      <c r="F388" t="inlineStr">
        <is>
          <t>VÄSTRA GÖTALANDS LÄN</t>
        </is>
      </c>
      <c r="G388" t="inlineStr">
        <is>
          <t>TANUM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46314</v>
      </c>
      <c r="F389" t="inlineStr">
        <is>
          <t>VÄSTRA GÖTALANDS LÄN</t>
        </is>
      </c>
      <c r="G389" t="inlineStr">
        <is>
          <t>TANUM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46286</v>
      </c>
      <c r="E390" s="1" t="n">
        <v>46314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46286</v>
      </c>
      <c r="E391" s="1" t="n">
        <v>46314</v>
      </c>
      <c r="F391" t="inlineStr">
        <is>
          <t>VÄSTRA GÖTALANDS LÄN</t>
        </is>
      </c>
      <c r="G391" t="inlineStr">
        <is>
          <t>TANUM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46314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46314</v>
      </c>
      <c r="F393" t="inlineStr">
        <is>
          <t>VÄSTRA GÖTALANDS LÄN</t>
        </is>
      </c>
      <c r="G393" t="inlineStr">
        <is>
          <t>TANUM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21751-2023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46314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Kyrkan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45544</v>
      </c>
      <c r="E395" s="1" t="n">
        <v>46314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46314</v>
      </c>
      <c r="F396" t="inlineStr">
        <is>
          <t>VÄSTRA GÖTALANDS LÄN</t>
        </is>
      </c>
      <c r="G396" t="inlineStr">
        <is>
          <t>TANUM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45440</v>
      </c>
      <c r="E397" s="1" t="n">
        <v>46314</v>
      </c>
      <c r="F397" t="inlineStr">
        <is>
          <t>VÄSTRA GÖTALANDS LÄN</t>
        </is>
      </c>
      <c r="G397" t="inlineStr">
        <is>
          <t>TANUM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20190-2022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44698</v>
      </c>
      <c r="E398" s="1" t="n">
        <v>46314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46314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46314</v>
      </c>
      <c r="F400" t="inlineStr">
        <is>
          <t>VÄSTRA GÖTALANDS LÄN</t>
        </is>
      </c>
      <c r="G400" t="inlineStr">
        <is>
          <t>TANUM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39975-2026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46292</v>
      </c>
      <c r="E401" s="1" t="n">
        <v>46314</v>
      </c>
      <c r="F401" t="inlineStr">
        <is>
          <t>VÄSTRA GÖTALANDS LÄN</t>
        </is>
      </c>
      <c r="G401" t="inlineStr">
        <is>
          <t>TANUM</t>
        </is>
      </c>
      <c r="I401" t="n">
        <v>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44573</v>
      </c>
      <c r="E402" s="1" t="n">
        <v>46314</v>
      </c>
      <c r="F402" t="inlineStr">
        <is>
          <t>VÄSTRA GÖTALANDS LÄN</t>
        </is>
      </c>
      <c r="G402" t="inlineStr">
        <is>
          <t>TANUM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53406-2022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44879</v>
      </c>
      <c r="E403" s="1" t="n">
        <v>46314</v>
      </c>
      <c r="F403" t="inlineStr">
        <is>
          <t>VÄSTRA GÖTALANDS LÄN</t>
        </is>
      </c>
      <c r="G403" t="inlineStr">
        <is>
          <t>TANUM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45170</v>
      </c>
      <c r="E404" s="1" t="n">
        <v>46314</v>
      </c>
      <c r="F404" t="inlineStr">
        <is>
          <t>VÄSTRA GÖTALANDS LÄN</t>
        </is>
      </c>
      <c r="G404" t="inlineStr">
        <is>
          <t>TANUM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46314</v>
      </c>
      <c r="F405" t="inlineStr">
        <is>
          <t>VÄSTRA GÖTALANDS LÄN</t>
        </is>
      </c>
      <c r="G405" t="inlineStr">
        <is>
          <t>TANUM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46251</v>
      </c>
      <c r="E406" s="1" t="n">
        <v>46314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44613</v>
      </c>
      <c r="E407" s="1" t="n">
        <v>46314</v>
      </c>
      <c r="F407" t="inlineStr">
        <is>
          <t>VÄSTRA GÖTALANDS LÄN</t>
        </is>
      </c>
      <c r="G407" t="inlineStr">
        <is>
          <t>TANUM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46293</v>
      </c>
      <c r="E408" s="1" t="n">
        <v>46314</v>
      </c>
      <c r="F408" t="inlineStr">
        <is>
          <t>VÄSTRA GÖTALANDS LÄN</t>
        </is>
      </c>
      <c r="G408" t="inlineStr">
        <is>
          <t>TANUM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44897</v>
      </c>
      <c r="E409" s="1" t="n">
        <v>46314</v>
      </c>
      <c r="F409" t="inlineStr">
        <is>
          <t>VÄSTRA GÖTALANDS LÄN</t>
        </is>
      </c>
      <c r="G409" t="inlineStr">
        <is>
          <t>TANUM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46247</v>
      </c>
      <c r="E410" s="1" t="n">
        <v>46314</v>
      </c>
      <c r="F410" t="inlineStr">
        <is>
          <t>VÄSTRA GÖTALANDS LÄN</t>
        </is>
      </c>
      <c r="G410" t="inlineStr">
        <is>
          <t>TANUM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46287</v>
      </c>
      <c r="E411" s="1" t="n">
        <v>46314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48987-2023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45209</v>
      </c>
      <c r="E412" s="1" t="n">
        <v>46314</v>
      </c>
      <c r="F412" t="inlineStr">
        <is>
          <t>VÄSTRA GÖTALANDS LÄN</t>
        </is>
      </c>
      <c r="G412" t="inlineStr">
        <is>
          <t>TANUM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46314</v>
      </c>
      <c r="F413" t="inlineStr">
        <is>
          <t>VÄSTRA GÖTALANDS LÄN</t>
        </is>
      </c>
      <c r="G413" t="inlineStr">
        <is>
          <t>TANUM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46314</v>
      </c>
      <c r="F414" t="inlineStr">
        <is>
          <t>VÄSTRA GÖTALANDS LÄN</t>
        </is>
      </c>
      <c r="G414" t="inlineStr">
        <is>
          <t>TANUM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45371</v>
      </c>
      <c r="E415" s="1" t="n">
        <v>46314</v>
      </c>
      <c r="F415" t="inlineStr">
        <is>
          <t>VÄSTRA GÖTALANDS LÄN</t>
        </is>
      </c>
      <c r="G415" t="inlineStr">
        <is>
          <t>TANUM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46314</v>
      </c>
      <c r="F416" t="inlineStr">
        <is>
          <t>VÄSTRA GÖTALANDS LÄN</t>
        </is>
      </c>
      <c r="G416" t="inlineStr">
        <is>
          <t>TANUM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46294</v>
      </c>
      <c r="E417" s="1" t="n">
        <v>46314</v>
      </c>
      <c r="F417" t="inlineStr">
        <is>
          <t>VÄSTRA GÖTALANDS LÄN</t>
        </is>
      </c>
      <c r="G417" t="inlineStr">
        <is>
          <t>TANUM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43921-2024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45571</v>
      </c>
      <c r="E418" s="1" t="n">
        <v>46314</v>
      </c>
      <c r="F418" t="inlineStr">
        <is>
          <t>VÄSTRA GÖTALANDS LÄN</t>
        </is>
      </c>
      <c r="G418" t="inlineStr">
        <is>
          <t>TANUM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43242-2022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44834</v>
      </c>
      <c r="E419" s="1" t="n">
        <v>46314</v>
      </c>
      <c r="F419" t="inlineStr">
        <is>
          <t>VÄSTRA GÖTALANDS LÄN</t>
        </is>
      </c>
      <c r="G419" t="inlineStr">
        <is>
          <t>TANUM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46314</v>
      </c>
      <c r="F420" t="inlineStr">
        <is>
          <t>VÄSTRA GÖTALANDS LÄN</t>
        </is>
      </c>
      <c r="G420" t="inlineStr">
        <is>
          <t>TANUM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46314</v>
      </c>
      <c r="F421" t="inlineStr">
        <is>
          <t>VÄSTRA GÖTALANDS LÄN</t>
        </is>
      </c>
      <c r="G421" t="inlineStr">
        <is>
          <t>TANUM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46314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46314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46314</v>
      </c>
      <c r="F424" t="inlineStr">
        <is>
          <t>VÄSTRA GÖTALANDS LÄN</t>
        </is>
      </c>
      <c r="G424" t="inlineStr">
        <is>
          <t>TANUM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45415</v>
      </c>
      <c r="E425" s="1" t="n">
        <v>46314</v>
      </c>
      <c r="F425" t="inlineStr">
        <is>
          <t>VÄSTRA GÖTALANDS LÄN</t>
        </is>
      </c>
      <c r="G425" t="inlineStr">
        <is>
          <t>TANUM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15691-2025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45748</v>
      </c>
      <c r="E426" s="1" t="n">
        <v>46314</v>
      </c>
      <c r="F426" t="inlineStr">
        <is>
          <t>VÄSTRA GÖTALANDS LÄN</t>
        </is>
      </c>
      <c r="G426" t="inlineStr">
        <is>
          <t>TANUM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34848-2026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46258</v>
      </c>
      <c r="E427" s="1" t="n">
        <v>46314</v>
      </c>
      <c r="F427" t="inlineStr">
        <is>
          <t>VÄSTRA GÖTALANDS LÄN</t>
        </is>
      </c>
      <c r="G427" t="inlineStr">
        <is>
          <t>TANUM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45072</v>
      </c>
      <c r="E428" s="1" t="n">
        <v>46314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46300</v>
      </c>
      <c r="E429" s="1" t="n">
        <v>46314</v>
      </c>
      <c r="F429" t="inlineStr">
        <is>
          <t>VÄSTRA GÖTALANDS LÄN</t>
        </is>
      </c>
      <c r="G429" t="inlineStr">
        <is>
          <t>TANUM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46260</v>
      </c>
      <c r="E430" s="1" t="n">
        <v>46314</v>
      </c>
      <c r="F430" t="inlineStr">
        <is>
          <t>VÄSTRA GÖTALANDS LÄN</t>
        </is>
      </c>
      <c r="G430" t="inlineStr">
        <is>
          <t>TANUM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45789</v>
      </c>
      <c r="E431" s="1" t="n">
        <v>46314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46314</v>
      </c>
      <c r="F432" t="inlineStr">
        <is>
          <t>VÄSTRA GÖTALANDS LÄN</t>
        </is>
      </c>
      <c r="G432" t="inlineStr">
        <is>
          <t>TANUM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46314</v>
      </c>
      <c r="F433" t="inlineStr">
        <is>
          <t>VÄSTRA GÖTALANDS LÄN</t>
        </is>
      </c>
      <c r="G433" t="inlineStr">
        <is>
          <t>TANUM</t>
        </is>
      </c>
      <c r="I433" t="n">
        <v>12.2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46314</v>
      </c>
      <c r="F434" t="inlineStr">
        <is>
          <t>VÄSTRA GÖTALANDS LÄN</t>
        </is>
      </c>
      <c r="G434" t="inlineStr">
        <is>
          <t>TANUM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46259</v>
      </c>
      <c r="E435" s="1" t="n">
        <v>46314</v>
      </c>
      <c r="F435" t="inlineStr">
        <is>
          <t>VÄSTRA GÖTALANDS LÄN</t>
        </is>
      </c>
      <c r="G435" t="inlineStr">
        <is>
          <t>TANUM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45737</v>
      </c>
      <c r="E436" s="1" t="n">
        <v>46314</v>
      </c>
      <c r="F436" t="inlineStr">
        <is>
          <t>VÄSTRA GÖTALANDS LÄN</t>
        </is>
      </c>
      <c r="G436" t="inlineStr">
        <is>
          <t>TANUM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45743</v>
      </c>
      <c r="E437" s="1" t="n">
        <v>46314</v>
      </c>
      <c r="F437" t="inlineStr">
        <is>
          <t>VÄSTRA GÖTALANDS LÄN</t>
        </is>
      </c>
      <c r="G437" t="inlineStr">
        <is>
          <t>TANUM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9697-2024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45362</v>
      </c>
      <c r="E438" s="1" t="n">
        <v>46314</v>
      </c>
      <c r="F438" t="inlineStr">
        <is>
          <t>VÄSTRA GÖTALANDS LÄN</t>
        </is>
      </c>
      <c r="G438" t="inlineStr">
        <is>
          <t>TANUM</t>
        </is>
      </c>
      <c r="H438" t="inlineStr">
        <is>
          <t>Kyrkan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45551</v>
      </c>
      <c r="E439" s="1" t="n">
        <v>46314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46314</v>
      </c>
      <c r="F440" t="inlineStr">
        <is>
          <t>VÄSTRA GÖTALANDS LÄN</t>
        </is>
      </c>
      <c r="G440" t="inlineStr">
        <is>
          <t>TANUM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46314</v>
      </c>
      <c r="F441" t="inlineStr">
        <is>
          <t>VÄSTRA GÖTALANDS LÄN</t>
        </is>
      </c>
      <c r="G441" t="inlineStr">
        <is>
          <t>TANUM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24697-2023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46314</v>
      </c>
      <c r="F442" t="inlineStr">
        <is>
          <t>VÄSTRA GÖTALANDS LÄN</t>
        </is>
      </c>
      <c r="G442" t="inlineStr">
        <is>
          <t>TANUM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45743</v>
      </c>
      <c r="E443" s="1" t="n">
        <v>46314</v>
      </c>
      <c r="F443" t="inlineStr">
        <is>
          <t>VÄSTRA GÖTALANDS LÄN</t>
        </is>
      </c>
      <c r="G443" t="inlineStr">
        <is>
          <t>TANUM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45728</v>
      </c>
      <c r="E444" s="1" t="n">
        <v>46314</v>
      </c>
      <c r="F444" t="inlineStr">
        <is>
          <t>VÄSTRA GÖTALANDS LÄN</t>
        </is>
      </c>
      <c r="G444" t="inlineStr">
        <is>
          <t>TANUM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46314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46262</v>
      </c>
      <c r="E446" s="1" t="n">
        <v>46314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46314</v>
      </c>
      <c r="F447" t="inlineStr">
        <is>
          <t>VÄSTRA GÖTALANDS LÄN</t>
        </is>
      </c>
      <c r="G447" t="inlineStr">
        <is>
          <t>TANUM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42614-2026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46307</v>
      </c>
      <c r="E448" s="1" t="n">
        <v>46314</v>
      </c>
      <c r="F448" t="inlineStr">
        <is>
          <t>VÄSTRA GÖTALANDS LÄN</t>
        </is>
      </c>
      <c r="G448" t="inlineStr">
        <is>
          <t>TANUM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46039</v>
      </c>
      <c r="E449" s="1" t="n">
        <v>46314</v>
      </c>
      <c r="F449" t="inlineStr">
        <is>
          <t>VÄSTRA GÖTALANDS LÄN</t>
        </is>
      </c>
      <c r="G449" t="inlineStr">
        <is>
          <t>TANUM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48750-2024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45593</v>
      </c>
      <c r="E450" s="1" t="n">
        <v>46314</v>
      </c>
      <c r="F450" t="inlineStr">
        <is>
          <t>VÄSTRA GÖTALANDS LÄN</t>
        </is>
      </c>
      <c r="G450" t="inlineStr">
        <is>
          <t>TANUM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45842</v>
      </c>
      <c r="E451" s="1" t="n">
        <v>46314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4224-2024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45324</v>
      </c>
      <c r="E452" s="1" t="n">
        <v>46314</v>
      </c>
      <c r="F452" t="inlineStr">
        <is>
          <t>VÄSTRA GÖTALANDS LÄN</t>
        </is>
      </c>
      <c r="G452" t="inlineStr">
        <is>
          <t>TANUM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45753</v>
      </c>
      <c r="E453" s="1" t="n">
        <v>46314</v>
      </c>
      <c r="F453" t="inlineStr">
        <is>
          <t>VÄSTRA GÖTALANDS LÄN</t>
        </is>
      </c>
      <c r="G453" t="inlineStr">
        <is>
          <t>TANUM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46314</v>
      </c>
      <c r="F454" t="inlineStr">
        <is>
          <t>VÄSTRA GÖTALANDS LÄN</t>
        </is>
      </c>
      <c r="G454" t="inlineStr">
        <is>
          <t>TANUM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46314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45834</v>
      </c>
      <c r="E456" s="1" t="n">
        <v>46314</v>
      </c>
      <c r="F456" t="inlineStr">
        <is>
          <t>VÄSTRA GÖTALANDS LÄN</t>
        </is>
      </c>
      <c r="G456" t="inlineStr">
        <is>
          <t>TANUM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45834</v>
      </c>
      <c r="E457" s="1" t="n">
        <v>46314</v>
      </c>
      <c r="F457" t="inlineStr">
        <is>
          <t>VÄSTRA GÖTALANDS LÄN</t>
        </is>
      </c>
      <c r="G457" t="inlineStr">
        <is>
          <t>TANUM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45820</v>
      </c>
      <c r="E458" s="1" t="n">
        <v>46314</v>
      </c>
      <c r="F458" t="inlineStr">
        <is>
          <t>VÄSTRA GÖTALANDS LÄN</t>
        </is>
      </c>
      <c r="G458" t="inlineStr">
        <is>
          <t>TANUM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46314</v>
      </c>
      <c r="F459" t="inlineStr">
        <is>
          <t>VÄSTRA GÖTALANDS LÄN</t>
        </is>
      </c>
      <c r="G459" t="inlineStr">
        <is>
          <t>TANUM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46314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45522</v>
      </c>
      <c r="E461" s="1" t="n">
        <v>46314</v>
      </c>
      <c r="F461" t="inlineStr">
        <is>
          <t>VÄSTRA GÖTALANDS LÄN</t>
        </is>
      </c>
      <c r="G461" t="inlineStr">
        <is>
          <t>TANUM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45872</v>
      </c>
      <c r="E462" s="1" t="n">
        <v>46314</v>
      </c>
      <c r="F462" t="inlineStr">
        <is>
          <t>VÄSTRA GÖTALANDS LÄN</t>
        </is>
      </c>
      <c r="G462" t="inlineStr">
        <is>
          <t>TANUM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46314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46314</v>
      </c>
      <c r="F464" t="inlineStr">
        <is>
          <t>VÄSTRA GÖTALANDS LÄN</t>
        </is>
      </c>
      <c r="G464" t="inlineStr">
        <is>
          <t>TANUM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46314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45874</v>
      </c>
      <c r="E466" s="1" t="n">
        <v>46314</v>
      </c>
      <c r="F466" t="inlineStr">
        <is>
          <t>VÄSTRA GÖTALANDS LÄN</t>
        </is>
      </c>
      <c r="G466" t="inlineStr">
        <is>
          <t>TANUM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45709</v>
      </c>
      <c r="E467" s="1" t="n">
        <v>46314</v>
      </c>
      <c r="F467" t="inlineStr">
        <is>
          <t>VÄSTRA GÖTALANDS LÄN</t>
        </is>
      </c>
      <c r="G467" t="inlineStr">
        <is>
          <t>TANUM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45880</v>
      </c>
      <c r="E468" s="1" t="n">
        <v>46314</v>
      </c>
      <c r="F468" t="inlineStr">
        <is>
          <t>VÄSTRA GÖTALANDS LÄN</t>
        </is>
      </c>
      <c r="G468" t="inlineStr">
        <is>
          <t>TANUM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46314</v>
      </c>
      <c r="F469" t="inlineStr">
        <is>
          <t>VÄSTRA GÖTALANDS LÄN</t>
        </is>
      </c>
      <c r="G469" t="inlineStr">
        <is>
          <t>TANUM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46314</v>
      </c>
      <c r="F470" t="inlineStr">
        <is>
          <t>VÄSTRA GÖTALANDS LÄN</t>
        </is>
      </c>
      <c r="G470" t="inlineStr">
        <is>
          <t>TANUM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10889-2025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45722</v>
      </c>
      <c r="E471" s="1" t="n">
        <v>46314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714-2024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45362</v>
      </c>
      <c r="E472" s="1" t="n">
        <v>46314</v>
      </c>
      <c r="F472" t="inlineStr">
        <is>
          <t>VÄSTRA GÖTALANDS LÄN</t>
        </is>
      </c>
      <c r="G472" t="inlineStr">
        <is>
          <t>TANUM</t>
        </is>
      </c>
      <c r="I472" t="n">
        <v>35.7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422-2022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44586</v>
      </c>
      <c r="E473" s="1" t="n">
        <v>46314</v>
      </c>
      <c r="F473" t="inlineStr">
        <is>
          <t>VÄSTRA GÖTALANDS LÄN</t>
        </is>
      </c>
      <c r="G473" t="inlineStr">
        <is>
          <t>TANUM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1468-2022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44636</v>
      </c>
      <c r="E474" s="1" t="n">
        <v>46314</v>
      </c>
      <c r="F474" t="inlineStr">
        <is>
          <t>VÄSTRA GÖTALANDS LÄN</t>
        </is>
      </c>
      <c r="G474" t="inlineStr">
        <is>
          <t>TANUM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9009-2021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44509</v>
      </c>
      <c r="E475" s="1" t="n">
        <v>46314</v>
      </c>
      <c r="F475" t="inlineStr">
        <is>
          <t>VÄSTRA GÖTALANDS LÄN</t>
        </is>
      </c>
      <c r="G475" t="inlineStr">
        <is>
          <t>TANUM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3471-2023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45204</v>
      </c>
      <c r="E476" s="1" t="n">
        <v>46314</v>
      </c>
      <c r="F476" t="inlineStr">
        <is>
          <t>VÄSTRA GÖTALANDS LÄN</t>
        </is>
      </c>
      <c r="G476" t="inlineStr">
        <is>
          <t>TANUM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1128-2026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46133</v>
      </c>
      <c r="E477" s="1" t="n">
        <v>46314</v>
      </c>
      <c r="F477" t="inlineStr">
        <is>
          <t>VÄSTRA GÖTALANDS LÄN</t>
        </is>
      </c>
      <c r="G477" t="inlineStr">
        <is>
          <t>TANUM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2026-10-19T02:03:28Z</dcterms:created>
  <dcterms:modified xmlns:dcterms="http://purl.org/dc/terms/" xmlns:xsi="http://www.w3.org/2001/XMLSchema-instance" xsi:type="dcterms:W3CDTF">2026-10-19T02:03:28Z</dcterms:modified>
</cp:coreProperties>
</file>