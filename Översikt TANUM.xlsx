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46231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46231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46231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46231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46231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46231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46231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46231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46231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46231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46231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46231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Åkerrättika
Åkerkulla</t>
        </is>
      </c>
      <c r="W25">
        <f>HYPERLINK("https://klasma.github.io/Logging_1435/artfynd/A 40145-2021 artfynd.xlsx", "A 40145-2021")</f>
        <v/>
      </c>
      <c r="X25">
        <f>HYPERLINK("https://klasma.github.io/Logging_1435/kartor/A 40145-2021 karta.png", "A 40145-2021")</f>
        <v/>
      </c>
      <c r="Y25">
        <f>HYPERLINK("https://klasma.github.io/Logging_1435/kartor_geotiff/A 40145-2021 georefererad karta.tif", "A 40145-2021")</f>
        <v/>
      </c>
      <c r="AA25">
        <f>HYPERLINK("https://klasma.github.io/Logging_1435/klagomål/A 40145-2021 FSC-klagomål.docx", "A 40145-2021")</f>
        <v/>
      </c>
      <c r="AB25">
        <f>HYPERLINK("https://klasma.github.io/Logging_1435/klagomålsmail/A 40145-2021 FSC-klagomål mail.docx", "A 40145-2021")</f>
        <v/>
      </c>
      <c r="AC25">
        <f>HYPERLINK("https://klasma.github.io/Logging_1435/tillsyn/A 40145-2021 tillsynsbegäran.docx", "A 40145-2021")</f>
        <v/>
      </c>
      <c r="AD25">
        <f>HYPERLINK("https://klasma.github.io/Logging_1435/tillsynsmail/A 40145-2021 tillsynsbegäran mail.docx", "A 40145-2021")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46231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46231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46231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46231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46231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46231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46231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46231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46231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46231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46231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50891-2021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46231</v>
      </c>
      <c r="F41" t="inlineStr">
        <is>
          <t>VÄSTRA GÖTALANDS LÄN</t>
        </is>
      </c>
      <c r="G41" t="inlineStr">
        <is>
          <t>TANUM</t>
        </is>
      </c>
      <c r="I41" t="n">
        <v>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HYPERLINK("https://klasma.github.io/Logging_1435/artfynd/A 50891-2021 artfynd.xlsx", "A 50891-2021")</f>
        <v/>
      </c>
      <c r="X41">
        <f>HYPERLINK("https://klasma.github.io/Logging_1435/kartor/A 50891-2021 karta.png", "A 50891-2021")</f>
        <v/>
      </c>
      <c r="Y41">
        <f>HYPERLINK("https://klasma.github.io/Logging_1435/kartor_geotiff/A 50891-2021 georefererad karta.tif", "A 50891-2021")</f>
        <v/>
      </c>
      <c r="AA41">
        <f>HYPERLINK("https://klasma.github.io/Logging_1435/klagomål/A 50891-2021 FSC-klagomål.docx", "A 50891-2021")</f>
        <v/>
      </c>
      <c r="AB41">
        <f>HYPERLINK("https://klasma.github.io/Logging_1435/klagomålsmail/A 50891-2021 FSC-klagomål mail.docx", "A 50891-2021")</f>
        <v/>
      </c>
      <c r="AC41">
        <f>HYPERLINK("https://klasma.github.io/Logging_1435/tillsyn/A 50891-2021 tillsynsbegäran.docx", "A 50891-2021")</f>
        <v/>
      </c>
      <c r="AD41">
        <f>HYPERLINK("https://klasma.github.io/Logging_1435/tillsynsmail/A 50891-2021 tillsynsbegäran mail.docx", "A 50891-2021")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46231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46231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46231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46231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46231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46231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46231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46231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46231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46231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46231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46231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46231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46231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46231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46231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46231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46231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46231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46231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46231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46231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46231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46231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46231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46231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46231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46231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46231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46231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46231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46231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46231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46231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46231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46231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46231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46231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46231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46231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46231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46231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46231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44731</v>
      </c>
      <c r="E85" s="1" t="n">
        <v>46231</v>
      </c>
      <c r="F85" t="inlineStr">
        <is>
          <t>VÄSTRA GÖTALANDS LÄN</t>
        </is>
      </c>
      <c r="G85" t="inlineStr">
        <is>
          <t>TANUM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46231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46231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46231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46231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46231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46231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46231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46231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46231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46231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46231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46231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46231</v>
      </c>
      <c r="F98" t="inlineStr">
        <is>
          <t>VÄSTRA GÖTALANDS LÄN</t>
        </is>
      </c>
      <c r="G98" t="inlineStr">
        <is>
          <t>TANUM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46231</v>
      </c>
      <c r="F99" t="inlineStr">
        <is>
          <t>VÄSTRA GÖTALANDS LÄN</t>
        </is>
      </c>
      <c r="G99" t="inlineStr">
        <is>
          <t>TANUM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46231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46231</v>
      </c>
      <c r="F101" t="inlineStr">
        <is>
          <t>VÄSTRA GÖTALANDS LÄN</t>
        </is>
      </c>
      <c r="G101" t="inlineStr">
        <is>
          <t>TANUM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24100-2022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44725</v>
      </c>
      <c r="E102" s="1" t="n">
        <v>46231</v>
      </c>
      <c r="F102" t="inlineStr">
        <is>
          <t>VÄSTRA GÖTALANDS LÄN</t>
        </is>
      </c>
      <c r="G102" t="inlineStr">
        <is>
          <t>TANUM</t>
        </is>
      </c>
      <c r="I102" t="n">
        <v>10.7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46231</v>
      </c>
      <c r="F103" t="inlineStr">
        <is>
          <t>VÄSTRA GÖTALANDS LÄN</t>
        </is>
      </c>
      <c r="G103" t="inlineStr">
        <is>
          <t>TANUM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46231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46231</v>
      </c>
      <c r="F105" t="inlineStr">
        <is>
          <t>VÄSTRA GÖTALANDS LÄN</t>
        </is>
      </c>
      <c r="G105" t="inlineStr">
        <is>
          <t>TANUM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46231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45698</v>
      </c>
      <c r="E107" s="1" t="n">
        <v>46231</v>
      </c>
      <c r="F107" t="inlineStr">
        <is>
          <t>VÄSTRA GÖTALANDS LÄN</t>
        </is>
      </c>
      <c r="G107" t="inlineStr">
        <is>
          <t>TANUM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46231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46231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46231</v>
      </c>
      <c r="F110" t="inlineStr">
        <is>
          <t>VÄSTRA GÖTALANDS LÄN</t>
        </is>
      </c>
      <c r="G110" t="inlineStr">
        <is>
          <t>TANUM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46231</v>
      </c>
      <c r="F111" t="inlineStr">
        <is>
          <t>VÄSTRA GÖTALANDS LÄN</t>
        </is>
      </c>
      <c r="G111" t="inlineStr">
        <is>
          <t>TANUM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46231</v>
      </c>
      <c r="F112" t="inlineStr">
        <is>
          <t>VÄSTRA GÖTALANDS LÄN</t>
        </is>
      </c>
      <c r="G112" t="inlineStr">
        <is>
          <t>TANUM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46231</v>
      </c>
      <c r="F113" t="inlineStr">
        <is>
          <t>VÄSTRA GÖTALANDS LÄN</t>
        </is>
      </c>
      <c r="G113" t="inlineStr">
        <is>
          <t>TANUM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46231</v>
      </c>
      <c r="F114" t="inlineStr">
        <is>
          <t>VÄSTRA GÖTALANDS LÄN</t>
        </is>
      </c>
      <c r="G114" t="inlineStr">
        <is>
          <t>TANUM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46231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46231</v>
      </c>
      <c r="F116" t="inlineStr">
        <is>
          <t>VÄSTRA GÖTALANDS LÄN</t>
        </is>
      </c>
      <c r="G116" t="inlineStr">
        <is>
          <t>TANUM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45450</v>
      </c>
      <c r="E117" s="1" t="n">
        <v>46231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49309-2024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45595</v>
      </c>
      <c r="E118" s="1" t="n">
        <v>46231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46231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46231</v>
      </c>
      <c r="F120" t="inlineStr">
        <is>
          <t>VÄSTRA GÖTALANDS LÄN</t>
        </is>
      </c>
      <c r="G120" t="inlineStr">
        <is>
          <t>TANUM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46231</v>
      </c>
      <c r="F121" t="inlineStr">
        <is>
          <t>VÄSTRA GÖTALANDS LÄN</t>
        </is>
      </c>
      <c r="G121" t="inlineStr">
        <is>
          <t>TANUM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46231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44890</v>
      </c>
      <c r="E123" s="1" t="n">
        <v>46231</v>
      </c>
      <c r="F123" t="inlineStr">
        <is>
          <t>VÄSTRA GÖTALANDS LÄN</t>
        </is>
      </c>
      <c r="G123" t="inlineStr">
        <is>
          <t>TANUM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45231</v>
      </c>
      <c r="E124" s="1" t="n">
        <v>46231</v>
      </c>
      <c r="F124" t="inlineStr">
        <is>
          <t>VÄSTRA GÖTALANDS LÄN</t>
        </is>
      </c>
      <c r="G124" t="inlineStr">
        <is>
          <t>TANUM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46231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46231</v>
      </c>
      <c r="F126" t="inlineStr">
        <is>
          <t>VÄSTRA GÖTALANDS LÄN</t>
        </is>
      </c>
      <c r="G126" t="inlineStr">
        <is>
          <t>TANUM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46231</v>
      </c>
      <c r="F127" t="inlineStr">
        <is>
          <t>VÄSTRA GÖTALANDS LÄN</t>
        </is>
      </c>
      <c r="G127" t="inlineStr">
        <is>
          <t>TANUM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46231</v>
      </c>
      <c r="F128" t="inlineStr">
        <is>
          <t>VÄSTRA GÖTALANDS LÄN</t>
        </is>
      </c>
      <c r="G128" t="inlineStr">
        <is>
          <t>TANUM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46231</v>
      </c>
      <c r="F129" t="inlineStr">
        <is>
          <t>VÄSTRA GÖTALANDS LÄN</t>
        </is>
      </c>
      <c r="G129" t="inlineStr">
        <is>
          <t>TANUM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43884-2021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44434</v>
      </c>
      <c r="E130" s="1" t="n">
        <v>46231</v>
      </c>
      <c r="F130" t="inlineStr">
        <is>
          <t>VÄSTRA GÖTALANDS LÄN</t>
        </is>
      </c>
      <c r="G130" t="inlineStr">
        <is>
          <t>TANUM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43889-2021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44434</v>
      </c>
      <c r="E131" s="1" t="n">
        <v>46231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46231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45425</v>
      </c>
      <c r="E133" s="1" t="n">
        <v>46231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46231</v>
      </c>
      <c r="F134" t="inlineStr">
        <is>
          <t>VÄSTRA GÖTALANDS LÄN</t>
        </is>
      </c>
      <c r="G134" t="inlineStr">
        <is>
          <t>TANUM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46231</v>
      </c>
      <c r="F135" t="inlineStr">
        <is>
          <t>VÄSTRA GÖTALANDS LÄN</t>
        </is>
      </c>
      <c r="G135" t="inlineStr">
        <is>
          <t>TANUM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46231</v>
      </c>
      <c r="F136" t="inlineStr">
        <is>
          <t>VÄSTRA GÖTALANDS LÄN</t>
        </is>
      </c>
      <c r="G136" t="inlineStr">
        <is>
          <t>TANUM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46231</v>
      </c>
      <c r="F137" t="inlineStr">
        <is>
          <t>VÄSTRA GÖTALANDS LÄN</t>
        </is>
      </c>
      <c r="G137" t="inlineStr">
        <is>
          <t>TANUM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46231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46231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46231</v>
      </c>
      <c r="F140" t="inlineStr">
        <is>
          <t>VÄSTRA GÖTALANDS LÄN</t>
        </is>
      </c>
      <c r="G140" t="inlineStr">
        <is>
          <t>TANUM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44601</v>
      </c>
      <c r="E141" s="1" t="n">
        <v>46231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46231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45753</v>
      </c>
      <c r="E143" s="1" t="n">
        <v>46231</v>
      </c>
      <c r="F143" t="inlineStr">
        <is>
          <t>VÄSTRA GÖTALANDS LÄN</t>
        </is>
      </c>
      <c r="G143" t="inlineStr">
        <is>
          <t>TANUM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45593</v>
      </c>
      <c r="E144" s="1" t="n">
        <v>46231</v>
      </c>
      <c r="F144" t="inlineStr">
        <is>
          <t>VÄSTRA GÖTALANDS LÄN</t>
        </is>
      </c>
      <c r="G144" t="inlineStr">
        <is>
          <t>TANUM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46231</v>
      </c>
      <c r="F145" t="inlineStr">
        <is>
          <t>VÄSTRA GÖTALANDS LÄN</t>
        </is>
      </c>
      <c r="G145" t="inlineStr">
        <is>
          <t>TANUM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46231</v>
      </c>
      <c r="F146" t="inlineStr">
        <is>
          <t>VÄSTRA GÖTALANDS LÄN</t>
        </is>
      </c>
      <c r="G146" t="inlineStr">
        <is>
          <t>TANUM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45324</v>
      </c>
      <c r="E147" s="1" t="n">
        <v>46231</v>
      </c>
      <c r="F147" t="inlineStr">
        <is>
          <t>VÄSTRA GÖTALANDS LÄN</t>
        </is>
      </c>
      <c r="G147" t="inlineStr">
        <is>
          <t>TANUM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46231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46231</v>
      </c>
      <c r="F149" t="inlineStr">
        <is>
          <t>VÄSTRA GÖTALANDS LÄN</t>
        </is>
      </c>
      <c r="G149" t="inlineStr">
        <is>
          <t>TANUM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46231</v>
      </c>
      <c r="F150" t="inlineStr">
        <is>
          <t>VÄSTRA GÖTALANDS LÄN</t>
        </is>
      </c>
      <c r="G150" t="inlineStr">
        <is>
          <t>TANUM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46039</v>
      </c>
      <c r="E151" s="1" t="n">
        <v>46231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46231</v>
      </c>
      <c r="F152" t="inlineStr">
        <is>
          <t>VÄSTRA GÖTALANDS LÄN</t>
        </is>
      </c>
      <c r="G152" t="inlineStr">
        <is>
          <t>TANUM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46231</v>
      </c>
      <c r="F153" t="inlineStr">
        <is>
          <t>VÄSTRA GÖTALANDS LÄN</t>
        </is>
      </c>
      <c r="G153" t="inlineStr">
        <is>
          <t>TANUM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46231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46231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46231</v>
      </c>
      <c r="F156" t="inlineStr">
        <is>
          <t>VÄSTRA GÖTALANDS LÄN</t>
        </is>
      </c>
      <c r="G156" t="inlineStr">
        <is>
          <t>TANUM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46231</v>
      </c>
      <c r="F157" t="inlineStr">
        <is>
          <t>VÄSTRA GÖTALANDS LÄN</t>
        </is>
      </c>
      <c r="G157" t="inlineStr">
        <is>
          <t>TANUM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46231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46231</v>
      </c>
      <c r="F159" t="inlineStr">
        <is>
          <t>VÄSTRA GÖTALANDS LÄN</t>
        </is>
      </c>
      <c r="G159" t="inlineStr">
        <is>
          <t>TANUM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46231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46231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46231</v>
      </c>
      <c r="F162" t="inlineStr">
        <is>
          <t>VÄSTRA GÖTALANDS LÄN</t>
        </is>
      </c>
      <c r="G162" t="inlineStr">
        <is>
          <t>TANUM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46231</v>
      </c>
      <c r="F163" t="inlineStr">
        <is>
          <t>VÄSTRA GÖTALANDS LÄN</t>
        </is>
      </c>
      <c r="G163" t="inlineStr">
        <is>
          <t>TANUM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45029</v>
      </c>
      <c r="E164" s="1" t="n">
        <v>46231</v>
      </c>
      <c r="F164" t="inlineStr">
        <is>
          <t>VÄSTRA GÖTALANDS LÄN</t>
        </is>
      </c>
      <c r="G164" t="inlineStr">
        <is>
          <t>TANUM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46231</v>
      </c>
      <c r="F165" t="inlineStr">
        <is>
          <t>VÄSTRA GÖTALANDS LÄN</t>
        </is>
      </c>
      <c r="G165" t="inlineStr">
        <is>
          <t>TANUM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46231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46231</v>
      </c>
      <c r="F167" t="inlineStr">
        <is>
          <t>VÄSTRA GÖTALANDS LÄN</t>
        </is>
      </c>
      <c r="G167" t="inlineStr">
        <is>
          <t>TANUM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46231</v>
      </c>
      <c r="F168" t="inlineStr">
        <is>
          <t>VÄSTRA GÖTALANDS LÄN</t>
        </is>
      </c>
      <c r="G168" t="inlineStr">
        <is>
          <t>TANUM</t>
        </is>
      </c>
      <c r="I168" t="n">
        <v>11.9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44939</v>
      </c>
      <c r="E169" s="1" t="n">
        <v>46231</v>
      </c>
      <c r="F169" t="inlineStr">
        <is>
          <t>VÄSTRA GÖTALANDS LÄN</t>
        </is>
      </c>
      <c r="G169" t="inlineStr">
        <is>
          <t>TANUM</t>
        </is>
      </c>
      <c r="I169" t="n">
        <v>9.9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46231</v>
      </c>
      <c r="F170" t="inlineStr">
        <is>
          <t>VÄSTRA GÖTALANDS LÄN</t>
        </is>
      </c>
      <c r="G170" t="inlineStr">
        <is>
          <t>TANUM</t>
        </is>
      </c>
      <c r="H170" t="inlineStr">
        <is>
          <t>Kyrkan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46231</v>
      </c>
      <c r="F171" t="inlineStr">
        <is>
          <t>VÄSTRA GÖTALANDS LÄN</t>
        </is>
      </c>
      <c r="G171" t="inlineStr">
        <is>
          <t>TANUM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46231</v>
      </c>
      <c r="F172" t="inlineStr">
        <is>
          <t>VÄSTRA GÖTALANDS LÄN</t>
        </is>
      </c>
      <c r="G172" t="inlineStr">
        <is>
          <t>TANUM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46231</v>
      </c>
      <c r="F173" t="inlineStr">
        <is>
          <t>VÄSTRA GÖTALANDS LÄN</t>
        </is>
      </c>
      <c r="G173" t="inlineStr">
        <is>
          <t>TANUM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45023</v>
      </c>
      <c r="E174" s="1" t="n">
        <v>46231</v>
      </c>
      <c r="F174" t="inlineStr">
        <is>
          <t>VÄSTRA GÖTALANDS LÄN</t>
        </is>
      </c>
      <c r="G174" t="inlineStr">
        <is>
          <t>TANUM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45571</v>
      </c>
      <c r="E175" s="1" t="n">
        <v>46231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46231</v>
      </c>
      <c r="F176" t="inlineStr">
        <is>
          <t>VÄSTRA GÖTALANDS LÄN</t>
        </is>
      </c>
      <c r="G176" t="inlineStr">
        <is>
          <t>TANUM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46231</v>
      </c>
      <c r="F177" t="inlineStr">
        <is>
          <t>VÄSTRA GÖTALANDS LÄN</t>
        </is>
      </c>
      <c r="G177" t="inlineStr">
        <is>
          <t>TANUM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46231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46231</v>
      </c>
      <c r="F179" t="inlineStr">
        <is>
          <t>VÄSTRA GÖTALANDS LÄN</t>
        </is>
      </c>
      <c r="G179" t="inlineStr">
        <is>
          <t>TANUM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46231</v>
      </c>
      <c r="F180" t="inlineStr">
        <is>
          <t>VÄSTRA GÖTALANDS LÄN</t>
        </is>
      </c>
      <c r="G180" t="inlineStr">
        <is>
          <t>TANUM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46231</v>
      </c>
      <c r="F181" t="inlineStr">
        <is>
          <t>VÄSTRA GÖTALANDS LÄN</t>
        </is>
      </c>
      <c r="G181" t="inlineStr">
        <is>
          <t>TANUM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46231</v>
      </c>
      <c r="F182" t="inlineStr">
        <is>
          <t>VÄSTRA GÖTALANDS LÄN</t>
        </is>
      </c>
      <c r="G182" t="inlineStr">
        <is>
          <t>TANUM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46231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Naturvårdsverket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45820</v>
      </c>
      <c r="E184" s="1" t="n">
        <v>46231</v>
      </c>
      <c r="F184" t="inlineStr">
        <is>
          <t>VÄSTRA GÖTALANDS LÄN</t>
        </is>
      </c>
      <c r="G184" t="inlineStr">
        <is>
          <t>TANUM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45744-2024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46231</v>
      </c>
      <c r="F185" t="inlineStr">
        <is>
          <t>VÄSTRA GÖTALANDS LÄN</t>
        </is>
      </c>
      <c r="G185" t="inlineStr">
        <is>
          <t>TANUM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46231</v>
      </c>
      <c r="F186" t="inlineStr">
        <is>
          <t>VÄSTRA GÖTALANDS LÄN</t>
        </is>
      </c>
      <c r="G186" t="inlineStr">
        <is>
          <t>TANUM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46231</v>
      </c>
      <c r="F187" t="inlineStr">
        <is>
          <t>VÄSTRA GÖTALANDS LÄN</t>
        </is>
      </c>
      <c r="G187" t="inlineStr">
        <is>
          <t>TANUM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46231</v>
      </c>
      <c r="F188" t="inlineStr">
        <is>
          <t>VÄSTRA GÖTALANDS LÄN</t>
        </is>
      </c>
      <c r="G188" t="inlineStr">
        <is>
          <t>TANUM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46231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46231</v>
      </c>
      <c r="F190" t="inlineStr">
        <is>
          <t>VÄSTRA GÖTALANDS LÄN</t>
        </is>
      </c>
      <c r="G190" t="inlineStr">
        <is>
          <t>TANUM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45522</v>
      </c>
      <c r="E191" s="1" t="n">
        <v>46231</v>
      </c>
      <c r="F191" t="inlineStr">
        <is>
          <t>VÄSTRA GÖTALANDS LÄN</t>
        </is>
      </c>
      <c r="G191" t="inlineStr">
        <is>
          <t>TANUM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46231</v>
      </c>
      <c r="F192" t="inlineStr">
        <is>
          <t>VÄSTRA GÖTALANDS LÄN</t>
        </is>
      </c>
      <c r="G192" t="inlineStr">
        <is>
          <t>TANUM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46231</v>
      </c>
      <c r="F193" t="inlineStr">
        <is>
          <t>VÄSTRA GÖTALANDS LÄN</t>
        </is>
      </c>
      <c r="G193" t="inlineStr">
        <is>
          <t>TANUM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11809-2026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46085</v>
      </c>
      <c r="E194" s="1" t="n">
        <v>46231</v>
      </c>
      <c r="F194" t="inlineStr">
        <is>
          <t>VÄSTRA GÖTALANDS LÄN</t>
        </is>
      </c>
      <c r="G194" t="inlineStr">
        <is>
          <t>TANUM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46231</v>
      </c>
      <c r="F195" t="inlineStr">
        <is>
          <t>VÄSTRA GÖTALANDS LÄN</t>
        </is>
      </c>
      <c r="G195" t="inlineStr">
        <is>
          <t>TANUM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46231</v>
      </c>
      <c r="F196" t="inlineStr">
        <is>
          <t>VÄSTRA GÖTALANDS LÄN</t>
        </is>
      </c>
      <c r="G196" t="inlineStr">
        <is>
          <t>TANUM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46231</v>
      </c>
      <c r="F197" t="inlineStr">
        <is>
          <t>VÄSTRA GÖTALANDS LÄN</t>
        </is>
      </c>
      <c r="G197" t="inlineStr">
        <is>
          <t>TANUM</t>
        </is>
      </c>
      <c r="H197" t="inlineStr">
        <is>
          <t>Kyrkan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46231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46231</v>
      </c>
      <c r="F199" t="inlineStr">
        <is>
          <t>VÄSTRA GÖTALANDS LÄN</t>
        </is>
      </c>
      <c r="G199" t="inlineStr">
        <is>
          <t>TANUM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46231</v>
      </c>
      <c r="F200" t="inlineStr">
        <is>
          <t>VÄSTRA GÖTALANDS LÄN</t>
        </is>
      </c>
      <c r="G200" t="inlineStr">
        <is>
          <t>TANUM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45872</v>
      </c>
      <c r="E201" s="1" t="n">
        <v>46231</v>
      </c>
      <c r="F201" t="inlineStr">
        <is>
          <t>VÄSTRA GÖTALANDS LÄN</t>
        </is>
      </c>
      <c r="G201" t="inlineStr">
        <is>
          <t>TANUM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46231</v>
      </c>
      <c r="F202" t="inlineStr">
        <is>
          <t>VÄSTRA GÖTALANDS LÄN</t>
        </is>
      </c>
      <c r="G202" t="inlineStr">
        <is>
          <t>TANUM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46231</v>
      </c>
      <c r="F203" t="inlineStr">
        <is>
          <t>VÄSTRA GÖTALANDS LÄN</t>
        </is>
      </c>
      <c r="G203" t="inlineStr">
        <is>
          <t>TANUM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46231</v>
      </c>
      <c r="F204" t="inlineStr">
        <is>
          <t>VÄSTRA GÖTALANDS LÄN</t>
        </is>
      </c>
      <c r="G204" t="inlineStr">
        <is>
          <t>TANUM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46231</v>
      </c>
      <c r="F205" t="inlineStr">
        <is>
          <t>VÄSTRA GÖTALANDS LÄN</t>
        </is>
      </c>
      <c r="G205" t="inlineStr">
        <is>
          <t>TANUM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46231</v>
      </c>
      <c r="F206" t="inlineStr">
        <is>
          <t>VÄSTRA GÖTALANDS LÄN</t>
        </is>
      </c>
      <c r="G206" t="inlineStr">
        <is>
          <t>TANUM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46231</v>
      </c>
      <c r="F207" t="inlineStr">
        <is>
          <t>VÄSTRA GÖTALANDS LÄN</t>
        </is>
      </c>
      <c r="G207" t="inlineStr">
        <is>
          <t>TANUM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46231</v>
      </c>
      <c r="F208" t="inlineStr">
        <is>
          <t>VÄSTRA GÖTALANDS LÄN</t>
        </is>
      </c>
      <c r="G208" t="inlineStr">
        <is>
          <t>TANUM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46231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46231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46231</v>
      </c>
      <c r="F211" t="inlineStr">
        <is>
          <t>VÄSTRA GÖTALANDS LÄN</t>
        </is>
      </c>
      <c r="G211" t="inlineStr">
        <is>
          <t>TANUM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46231</v>
      </c>
      <c r="F212" t="inlineStr">
        <is>
          <t>VÄSTRA GÖTALANDS LÄN</t>
        </is>
      </c>
      <c r="G212" t="inlineStr">
        <is>
          <t>TANUM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46231</v>
      </c>
      <c r="F213" t="inlineStr">
        <is>
          <t>VÄSTRA GÖTALANDS LÄN</t>
        </is>
      </c>
      <c r="G213" t="inlineStr">
        <is>
          <t>TANUM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46231</v>
      </c>
      <c r="F214" t="inlineStr">
        <is>
          <t>VÄSTRA GÖTALANDS LÄN</t>
        </is>
      </c>
      <c r="G214" t="inlineStr">
        <is>
          <t>TANUM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46231</v>
      </c>
      <c r="F215" t="inlineStr">
        <is>
          <t>VÄSTRA GÖTALANDS LÄN</t>
        </is>
      </c>
      <c r="G215" t="inlineStr">
        <is>
          <t>TANUM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46231</v>
      </c>
      <c r="F216" t="inlineStr">
        <is>
          <t>VÄSTRA GÖTALANDS LÄN</t>
        </is>
      </c>
      <c r="G216" t="inlineStr">
        <is>
          <t>TANUM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46231</v>
      </c>
      <c r="F217" t="inlineStr">
        <is>
          <t>VÄSTRA GÖTALANDS LÄN</t>
        </is>
      </c>
      <c r="G217" t="inlineStr">
        <is>
          <t>TANUM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46231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46231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Sveaskog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46231</v>
      </c>
      <c r="F220" t="inlineStr">
        <is>
          <t>VÄSTRA GÖTALANDS LÄN</t>
        </is>
      </c>
      <c r="G220" t="inlineStr">
        <is>
          <t>TANUM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44946</v>
      </c>
      <c r="E221" s="1" t="n">
        <v>46231</v>
      </c>
      <c r="F221" t="inlineStr">
        <is>
          <t>VÄSTRA GÖTALANDS LÄN</t>
        </is>
      </c>
      <c r="G221" t="inlineStr">
        <is>
          <t>TANUM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44969</v>
      </c>
      <c r="E222" s="1" t="n">
        <v>46231</v>
      </c>
      <c r="F222" t="inlineStr">
        <is>
          <t>VÄSTRA GÖTALANDS LÄN</t>
        </is>
      </c>
      <c r="G222" t="inlineStr">
        <is>
          <t>TANUM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46231</v>
      </c>
      <c r="F223" t="inlineStr">
        <is>
          <t>VÄSTRA GÖTALANDS LÄN</t>
        </is>
      </c>
      <c r="G223" t="inlineStr">
        <is>
          <t>TANUM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44954</v>
      </c>
      <c r="E224" s="1" t="n">
        <v>46231</v>
      </c>
      <c r="F224" t="inlineStr">
        <is>
          <t>VÄSTRA GÖTALANDS LÄN</t>
        </is>
      </c>
      <c r="G224" t="inlineStr">
        <is>
          <t>TANUM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46231</v>
      </c>
      <c r="F225" t="inlineStr">
        <is>
          <t>VÄSTRA GÖTALANDS LÄN</t>
        </is>
      </c>
      <c r="G225" t="inlineStr">
        <is>
          <t>TANUM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45102</v>
      </c>
      <c r="E226" s="1" t="n">
        <v>46231</v>
      </c>
      <c r="F226" t="inlineStr">
        <is>
          <t>VÄSTRA GÖTALANDS LÄN</t>
        </is>
      </c>
      <c r="G226" t="inlineStr">
        <is>
          <t>TANUM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46231</v>
      </c>
      <c r="F227" t="inlineStr">
        <is>
          <t>VÄSTRA GÖTALANDS LÄN</t>
        </is>
      </c>
      <c r="G227" t="inlineStr">
        <is>
          <t>TANUM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46231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46231</v>
      </c>
      <c r="F229" t="inlineStr">
        <is>
          <t>VÄSTRA GÖTALANDS LÄN</t>
        </is>
      </c>
      <c r="G229" t="inlineStr">
        <is>
          <t>TANUM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12077-2023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44997</v>
      </c>
      <c r="E230" s="1" t="n">
        <v>46231</v>
      </c>
      <c r="F230" t="inlineStr">
        <is>
          <t>VÄSTRA GÖTALANDS LÄN</t>
        </is>
      </c>
      <c r="G230" t="inlineStr">
        <is>
          <t>TANUM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45659</v>
      </c>
      <c r="E231" s="1" t="n">
        <v>46231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45673</v>
      </c>
      <c r="E232" s="1" t="n">
        <v>46231</v>
      </c>
      <c r="F232" t="inlineStr">
        <is>
          <t>VÄSTRA GÖTALANDS LÄN</t>
        </is>
      </c>
      <c r="G232" t="inlineStr">
        <is>
          <t>TANUM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45673</v>
      </c>
      <c r="E233" s="1" t="n">
        <v>46231</v>
      </c>
      <c r="F233" t="inlineStr">
        <is>
          <t>VÄSTRA GÖTALANDS LÄN</t>
        </is>
      </c>
      <c r="G233" t="inlineStr">
        <is>
          <t>TANUM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46231</v>
      </c>
      <c r="F234" t="inlineStr">
        <is>
          <t>VÄSTRA GÖTALANDS LÄN</t>
        </is>
      </c>
      <c r="G234" t="inlineStr">
        <is>
          <t>TANUM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46010</v>
      </c>
      <c r="E235" s="1" t="n">
        <v>46231</v>
      </c>
      <c r="F235" t="inlineStr">
        <is>
          <t>VÄSTRA GÖTALANDS LÄN</t>
        </is>
      </c>
      <c r="G235" t="inlineStr">
        <is>
          <t>TANUM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46231</v>
      </c>
      <c r="F236" t="inlineStr">
        <is>
          <t>VÄSTRA GÖTALANDS LÄN</t>
        </is>
      </c>
      <c r="G236" t="inlineStr">
        <is>
          <t>TANUM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46231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53759-2021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44469</v>
      </c>
      <c r="E238" s="1" t="n">
        <v>46231</v>
      </c>
      <c r="F238" t="inlineStr">
        <is>
          <t>VÄSTRA GÖTALANDS LÄN</t>
        </is>
      </c>
      <c r="G238" t="inlineStr">
        <is>
          <t>TANUM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45026</v>
      </c>
      <c r="E239" s="1" t="n">
        <v>46231</v>
      </c>
      <c r="F239" t="inlineStr">
        <is>
          <t>VÄSTRA GÖTALANDS LÄN</t>
        </is>
      </c>
      <c r="G239" t="inlineStr">
        <is>
          <t>TANUM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46231</v>
      </c>
      <c r="F240" t="inlineStr">
        <is>
          <t>VÄSTRA GÖTALANDS LÄN</t>
        </is>
      </c>
      <c r="G240" t="inlineStr">
        <is>
          <t>TANUM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44832</v>
      </c>
      <c r="E241" s="1" t="n">
        <v>46231</v>
      </c>
      <c r="F241" t="inlineStr">
        <is>
          <t>VÄSTRA GÖTALANDS LÄN</t>
        </is>
      </c>
      <c r="G241" t="inlineStr">
        <is>
          <t>TANUM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45686</v>
      </c>
      <c r="E242" s="1" t="n">
        <v>46231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46231</v>
      </c>
      <c r="F243" t="inlineStr">
        <is>
          <t>VÄSTRA GÖTALANDS LÄN</t>
        </is>
      </c>
      <c r="G243" t="inlineStr">
        <is>
          <t>TANUM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44807</v>
      </c>
      <c r="E244" s="1" t="n">
        <v>46231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46231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45677</v>
      </c>
      <c r="E246" s="1" t="n">
        <v>46231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46231</v>
      </c>
      <c r="F247" t="inlineStr">
        <is>
          <t>VÄSTRA GÖTALANDS LÄN</t>
        </is>
      </c>
      <c r="G247" t="inlineStr">
        <is>
          <t>TANUM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46231</v>
      </c>
      <c r="F248" t="inlineStr">
        <is>
          <t>VÄSTRA GÖTALANDS LÄN</t>
        </is>
      </c>
      <c r="G248" t="inlineStr">
        <is>
          <t>TANUM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46231</v>
      </c>
      <c r="F249" t="inlineStr">
        <is>
          <t>VÄSTRA GÖTALANDS LÄN</t>
        </is>
      </c>
      <c r="G249" t="inlineStr">
        <is>
          <t>TANUM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45872</v>
      </c>
      <c r="E250" s="1" t="n">
        <v>46231</v>
      </c>
      <c r="F250" t="inlineStr">
        <is>
          <t>VÄSTRA GÖTALANDS LÄN</t>
        </is>
      </c>
      <c r="G250" t="inlineStr">
        <is>
          <t>TANUM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45739</v>
      </c>
      <c r="E251" s="1" t="n">
        <v>46231</v>
      </c>
      <c r="F251" t="inlineStr">
        <is>
          <t>VÄSTRA GÖTALANDS LÄN</t>
        </is>
      </c>
      <c r="G251" t="inlineStr">
        <is>
          <t>TANUM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45820</v>
      </c>
      <c r="E252" s="1" t="n">
        <v>46231</v>
      </c>
      <c r="F252" t="inlineStr">
        <is>
          <t>VÄSTRA GÖTALANDS LÄN</t>
        </is>
      </c>
      <c r="G252" t="inlineStr">
        <is>
          <t>TANUM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46231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46231</v>
      </c>
      <c r="F254" t="inlineStr">
        <is>
          <t>VÄSTRA GÖTALANDS LÄN</t>
        </is>
      </c>
      <c r="G254" t="inlineStr">
        <is>
          <t>TANUM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46231</v>
      </c>
      <c r="F255" t="inlineStr">
        <is>
          <t>VÄSTRA GÖTALANDS LÄN</t>
        </is>
      </c>
      <c r="G255" t="inlineStr">
        <is>
          <t>TANUM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63326-2021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44506</v>
      </c>
      <c r="E256" s="1" t="n">
        <v>46231</v>
      </c>
      <c r="F256" t="inlineStr">
        <is>
          <t>VÄSTRA GÖTALANDS LÄN</t>
        </is>
      </c>
      <c r="G256" t="inlineStr">
        <is>
          <t>TANUM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46231</v>
      </c>
      <c r="F257" t="inlineStr">
        <is>
          <t>VÄSTRA GÖTALANDS LÄN</t>
        </is>
      </c>
      <c r="G257" t="inlineStr">
        <is>
          <t>TANUM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46231</v>
      </c>
      <c r="F258" t="inlineStr">
        <is>
          <t>VÄSTRA GÖTALANDS LÄN</t>
        </is>
      </c>
      <c r="G258" t="inlineStr">
        <is>
          <t>TANUM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46231</v>
      </c>
      <c r="F259" t="inlineStr">
        <is>
          <t>VÄSTRA GÖTALANDS LÄN</t>
        </is>
      </c>
      <c r="G259" t="inlineStr">
        <is>
          <t>TANUM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45744</v>
      </c>
      <c r="E260" s="1" t="n">
        <v>46231</v>
      </c>
      <c r="F260" t="inlineStr">
        <is>
          <t>VÄSTRA GÖTALANDS LÄN</t>
        </is>
      </c>
      <c r="G260" t="inlineStr">
        <is>
          <t>TANUM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44585</v>
      </c>
      <c r="E261" s="1" t="n">
        <v>46231</v>
      </c>
      <c r="F261" t="inlineStr">
        <is>
          <t>VÄSTRA GÖTALANDS LÄN</t>
        </is>
      </c>
      <c r="G261" t="inlineStr">
        <is>
          <t>TANUM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46231</v>
      </c>
      <c r="F262" t="inlineStr">
        <is>
          <t>VÄSTRA GÖTALANDS LÄN</t>
        </is>
      </c>
      <c r="G262" t="inlineStr">
        <is>
          <t>TANUM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46231</v>
      </c>
      <c r="F263" t="inlineStr">
        <is>
          <t>VÄSTRA GÖTALANDS LÄN</t>
        </is>
      </c>
      <c r="G263" t="inlineStr">
        <is>
          <t>TANUM</t>
        </is>
      </c>
      <c r="I263" t="n">
        <v>11.9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53033-2021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44467</v>
      </c>
      <c r="E264" s="1" t="n">
        <v>46231</v>
      </c>
      <c r="F264" t="inlineStr">
        <is>
          <t>VÄSTRA GÖTALANDS LÄN</t>
        </is>
      </c>
      <c r="G264" t="inlineStr">
        <is>
          <t>TANUM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21751-2023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45063</v>
      </c>
      <c r="E265" s="1" t="n">
        <v>46231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Kyrkan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46231</v>
      </c>
      <c r="F266" t="inlineStr">
        <is>
          <t>VÄSTRA GÖTALANDS LÄN</t>
        </is>
      </c>
      <c r="G266" t="inlineStr">
        <is>
          <t>TANUM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45927</v>
      </c>
      <c r="E267" s="1" t="n">
        <v>46231</v>
      </c>
      <c r="F267" t="inlineStr">
        <is>
          <t>VÄSTRA GÖTALANDS LÄN</t>
        </is>
      </c>
      <c r="G267" t="inlineStr">
        <is>
          <t>TANUM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46231</v>
      </c>
      <c r="F268" t="inlineStr">
        <is>
          <t>VÄSTRA GÖTALANDS LÄN</t>
        </is>
      </c>
      <c r="G268" t="inlineStr">
        <is>
          <t>TANUM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44846</v>
      </c>
      <c r="E269" s="1" t="n">
        <v>46231</v>
      </c>
      <c r="F269" t="inlineStr">
        <is>
          <t>VÄSTRA GÖTALANDS LÄN</t>
        </is>
      </c>
      <c r="G269" t="inlineStr">
        <is>
          <t>TANUM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46231</v>
      </c>
      <c r="F270" t="inlineStr">
        <is>
          <t>VÄSTRA GÖTALANDS LÄN</t>
        </is>
      </c>
      <c r="G270" t="inlineStr">
        <is>
          <t>TANUM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45837</v>
      </c>
      <c r="E271" s="1" t="n">
        <v>46231</v>
      </c>
      <c r="F271" t="inlineStr">
        <is>
          <t>VÄSTRA GÖTALANDS LÄN</t>
        </is>
      </c>
      <c r="G271" t="inlineStr">
        <is>
          <t>TANUM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46231</v>
      </c>
      <c r="F272" t="inlineStr">
        <is>
          <t>VÄSTRA GÖTALANDS LÄN</t>
        </is>
      </c>
      <c r="G272" t="inlineStr">
        <is>
          <t>TANUM</t>
        </is>
      </c>
      <c r="H272" t="inlineStr">
        <is>
          <t>Kyrkan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44908</v>
      </c>
      <c r="E273" s="1" t="n">
        <v>46231</v>
      </c>
      <c r="F273" t="inlineStr">
        <is>
          <t>VÄSTRA GÖTALANDS LÄN</t>
        </is>
      </c>
      <c r="G273" t="inlineStr">
        <is>
          <t>TANUM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46231</v>
      </c>
      <c r="F274" t="inlineStr">
        <is>
          <t>VÄSTRA GÖTALANDS LÄN</t>
        </is>
      </c>
      <c r="G274" t="inlineStr">
        <is>
          <t>TANUM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46231</v>
      </c>
      <c r="F275" t="inlineStr">
        <is>
          <t>VÄSTRA GÖTALANDS LÄN</t>
        </is>
      </c>
      <c r="G275" t="inlineStr">
        <is>
          <t>TANUM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46231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46231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46231</v>
      </c>
      <c r="F278" t="inlineStr">
        <is>
          <t>VÄSTRA GÖTALANDS LÄN</t>
        </is>
      </c>
      <c r="G278" t="inlineStr">
        <is>
          <t>TANUM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46231</v>
      </c>
      <c r="F279" t="inlineStr">
        <is>
          <t>VÄSTRA GÖTALANDS LÄN</t>
        </is>
      </c>
      <c r="G279" t="inlineStr">
        <is>
          <t>TANUM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45935</v>
      </c>
      <c r="E280" s="1" t="n">
        <v>46231</v>
      </c>
      <c r="F280" t="inlineStr">
        <is>
          <t>VÄSTRA GÖTALANDS LÄN</t>
        </is>
      </c>
      <c r="G280" t="inlineStr">
        <is>
          <t>TANUM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45293</v>
      </c>
      <c r="E281" s="1" t="n">
        <v>46231</v>
      </c>
      <c r="F281" t="inlineStr">
        <is>
          <t>VÄSTRA GÖTALANDS LÄN</t>
        </is>
      </c>
      <c r="G281" t="inlineStr">
        <is>
          <t>TANUM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45935</v>
      </c>
      <c r="E282" s="1" t="n">
        <v>46231</v>
      </c>
      <c r="F282" t="inlineStr">
        <is>
          <t>VÄSTRA GÖTALANDS LÄN</t>
        </is>
      </c>
      <c r="G282" t="inlineStr">
        <is>
          <t>TANUM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46231</v>
      </c>
      <c r="F283" t="inlineStr">
        <is>
          <t>VÄSTRA GÖTALANDS LÄN</t>
        </is>
      </c>
      <c r="G283" t="inlineStr">
        <is>
          <t>TANUM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46231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46231</v>
      </c>
      <c r="F285" t="inlineStr">
        <is>
          <t>VÄSTRA GÖTALANDS LÄN</t>
        </is>
      </c>
      <c r="G285" t="inlineStr">
        <is>
          <t>TANUM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46231</v>
      </c>
      <c r="F286" t="inlineStr">
        <is>
          <t>VÄSTRA GÖTALANDS LÄN</t>
        </is>
      </c>
      <c r="G286" t="inlineStr">
        <is>
          <t>TANUM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46231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46231</v>
      </c>
      <c r="F288" t="inlineStr">
        <is>
          <t>VÄSTRA GÖTALANDS LÄN</t>
        </is>
      </c>
      <c r="G288" t="inlineStr">
        <is>
          <t>TANUM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46231</v>
      </c>
      <c r="F289" t="inlineStr">
        <is>
          <t>VÄSTRA GÖTALANDS LÄN</t>
        </is>
      </c>
      <c r="G289" t="inlineStr">
        <is>
          <t>TANUM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45488</v>
      </c>
      <c r="E290" s="1" t="n">
        <v>46231</v>
      </c>
      <c r="F290" t="inlineStr">
        <is>
          <t>VÄSTRA GÖTALANDS LÄN</t>
        </is>
      </c>
      <c r="G290" t="inlineStr">
        <is>
          <t>TANUM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46231</v>
      </c>
      <c r="F291" t="inlineStr">
        <is>
          <t>VÄSTRA GÖTALANDS LÄN</t>
        </is>
      </c>
      <c r="G291" t="inlineStr">
        <is>
          <t>TANUM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72223-2021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44544</v>
      </c>
      <c r="E292" s="1" t="n">
        <v>46231</v>
      </c>
      <c r="F292" t="inlineStr">
        <is>
          <t>VÄSTRA GÖTALANDS LÄN</t>
        </is>
      </c>
      <c r="G292" t="inlineStr">
        <is>
          <t>TANUM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46231</v>
      </c>
      <c r="F293" t="inlineStr">
        <is>
          <t>VÄSTRA GÖTALANDS LÄN</t>
        </is>
      </c>
      <c r="G293" t="inlineStr">
        <is>
          <t>TANUM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46231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45942</v>
      </c>
      <c r="E295" s="1" t="n">
        <v>46231</v>
      </c>
      <c r="F295" t="inlineStr">
        <is>
          <t>VÄSTRA GÖTALANDS LÄN</t>
        </is>
      </c>
      <c r="G295" t="inlineStr">
        <is>
          <t>TANUM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44999</v>
      </c>
      <c r="E296" s="1" t="n">
        <v>46231</v>
      </c>
      <c r="F296" t="inlineStr">
        <is>
          <t>VÄSTRA GÖTALANDS LÄN</t>
        </is>
      </c>
      <c r="G296" t="inlineStr">
        <is>
          <t>TANUM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45384</v>
      </c>
      <c r="E297" s="1" t="n">
        <v>46231</v>
      </c>
      <c r="F297" t="inlineStr">
        <is>
          <t>VÄSTRA GÖTALANDS LÄN</t>
        </is>
      </c>
      <c r="G297" t="inlineStr">
        <is>
          <t>TANUM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45384</v>
      </c>
      <c r="E298" s="1" t="n">
        <v>46231</v>
      </c>
      <c r="F298" t="inlineStr">
        <is>
          <t>VÄSTRA GÖTALANDS LÄN</t>
        </is>
      </c>
      <c r="G298" t="inlineStr">
        <is>
          <t>TANUM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45392</v>
      </c>
      <c r="E299" s="1" t="n">
        <v>46231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46231</v>
      </c>
      <c r="F300" t="inlineStr">
        <is>
          <t>VÄSTRA GÖTALANDS LÄN</t>
        </is>
      </c>
      <c r="G300" t="inlineStr">
        <is>
          <t>TANUM</t>
        </is>
      </c>
      <c r="H300" t="inlineStr">
        <is>
          <t>Kyrkan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46231</v>
      </c>
      <c r="F301" t="inlineStr">
        <is>
          <t>VÄSTRA GÖTALANDS LÄN</t>
        </is>
      </c>
      <c r="G301" t="inlineStr">
        <is>
          <t>TANUM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45552</v>
      </c>
      <c r="E302" s="1" t="n">
        <v>46231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44579</v>
      </c>
      <c r="E303" s="1" t="n">
        <v>46231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46231</v>
      </c>
      <c r="F304" t="inlineStr">
        <is>
          <t>VÄSTRA GÖTALANDS LÄN</t>
        </is>
      </c>
      <c r="G304" t="inlineStr">
        <is>
          <t>TANUM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46231</v>
      </c>
      <c r="F305" t="inlineStr">
        <is>
          <t>VÄSTRA GÖTALANDS LÄN</t>
        </is>
      </c>
      <c r="G305" t="inlineStr">
        <is>
          <t>TANUM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45949</v>
      </c>
      <c r="E306" s="1" t="n">
        <v>46231</v>
      </c>
      <c r="F306" t="inlineStr">
        <is>
          <t>VÄSTRA GÖTALANDS LÄN</t>
        </is>
      </c>
      <c r="G306" t="inlineStr">
        <is>
          <t>TANUM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46231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46231</v>
      </c>
      <c r="F308" t="inlineStr">
        <is>
          <t>VÄSTRA GÖTALANDS LÄN</t>
        </is>
      </c>
      <c r="G308" t="inlineStr">
        <is>
          <t>TANUM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46231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72227-2021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44544</v>
      </c>
      <c r="E310" s="1" t="n">
        <v>46231</v>
      </c>
      <c r="F310" t="inlineStr">
        <is>
          <t>VÄSTRA GÖTALANDS LÄN</t>
        </is>
      </c>
      <c r="G310" t="inlineStr">
        <is>
          <t>TANUM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44572</v>
      </c>
      <c r="E311" s="1" t="n">
        <v>46231</v>
      </c>
      <c r="F311" t="inlineStr">
        <is>
          <t>VÄSTRA GÖTALANDS LÄN</t>
        </is>
      </c>
      <c r="G311" t="inlineStr">
        <is>
          <t>TANUM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46204</v>
      </c>
      <c r="E312" s="1" t="n">
        <v>46231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46231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46231</v>
      </c>
      <c r="F314" t="inlineStr">
        <is>
          <t>VÄSTRA GÖTALANDS LÄN</t>
        </is>
      </c>
      <c r="G314" t="inlineStr">
        <is>
          <t>TANUM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46231</v>
      </c>
      <c r="F315" t="inlineStr">
        <is>
          <t>VÄSTRA GÖTALANDS LÄN</t>
        </is>
      </c>
      <c r="G315" t="inlineStr">
        <is>
          <t>TANUM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46231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23375-2026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46162</v>
      </c>
      <c r="E317" s="1" t="n">
        <v>46231</v>
      </c>
      <c r="F317" t="inlineStr">
        <is>
          <t>VÄSTRA GÖTALANDS LÄN</t>
        </is>
      </c>
      <c r="G317" t="inlineStr">
        <is>
          <t>TANUM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46231</v>
      </c>
      <c r="F318" t="inlineStr">
        <is>
          <t>VÄSTRA GÖTALANDS LÄN</t>
        </is>
      </c>
      <c r="G318" t="inlineStr">
        <is>
          <t>TANUM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46231</v>
      </c>
      <c r="F319" t="inlineStr">
        <is>
          <t>VÄSTRA GÖTALANDS LÄN</t>
        </is>
      </c>
      <c r="G319" t="inlineStr">
        <is>
          <t>TANUM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45951</v>
      </c>
      <c r="E320" s="1" t="n">
        <v>46231</v>
      </c>
      <c r="F320" t="inlineStr">
        <is>
          <t>VÄSTRA GÖTALANDS LÄN</t>
        </is>
      </c>
      <c r="G320" t="inlineStr">
        <is>
          <t>TANUM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51692-2025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46231</v>
      </c>
      <c r="F321" t="inlineStr">
        <is>
          <t>VÄSTRA GÖTALANDS LÄN</t>
        </is>
      </c>
      <c r="G321" t="inlineStr">
        <is>
          <t>TANUM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66945-2021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44522</v>
      </c>
      <c r="E322" s="1" t="n">
        <v>46231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25441-2024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46231</v>
      </c>
      <c r="F323" t="inlineStr">
        <is>
          <t>VÄSTRA GÖTALANDS LÄN</t>
        </is>
      </c>
      <c r="G323" t="inlineStr">
        <is>
          <t>TANUM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44613</v>
      </c>
      <c r="E324" s="1" t="n">
        <v>46231</v>
      </c>
      <c r="F324" t="inlineStr">
        <is>
          <t>VÄSTRA GÖTALANDS LÄN</t>
        </is>
      </c>
      <c r="G324" t="inlineStr">
        <is>
          <t>TANUM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46231</v>
      </c>
      <c r="F325" t="inlineStr">
        <is>
          <t>VÄSTRA GÖTALANDS LÄN</t>
        </is>
      </c>
      <c r="G325" t="inlineStr">
        <is>
          <t>TANUM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41031-2023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46231</v>
      </c>
      <c r="F326" t="inlineStr">
        <is>
          <t>VÄSTRA GÖTALANDS LÄN</t>
        </is>
      </c>
      <c r="G326" t="inlineStr">
        <is>
          <t>TANUM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46231</v>
      </c>
      <c r="F327" t="inlineStr">
        <is>
          <t>VÄSTRA GÖTALANDS LÄN</t>
        </is>
      </c>
      <c r="G327" t="inlineStr">
        <is>
          <t>TANUM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44591</v>
      </c>
      <c r="E328" s="1" t="n">
        <v>46231</v>
      </c>
      <c r="F328" t="inlineStr">
        <is>
          <t>VÄSTRA GÖTALANDS LÄN</t>
        </is>
      </c>
      <c r="G328" t="inlineStr">
        <is>
          <t>TANUM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64990-2021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44514</v>
      </c>
      <c r="E329" s="1" t="n">
        <v>46231</v>
      </c>
      <c r="F329" t="inlineStr">
        <is>
          <t>VÄSTRA GÖTALANDS LÄN</t>
        </is>
      </c>
      <c r="G329" t="inlineStr">
        <is>
          <t>TANUM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46231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46231</v>
      </c>
      <c r="F331" t="inlineStr">
        <is>
          <t>VÄSTRA GÖTALANDS LÄN</t>
        </is>
      </c>
      <c r="G331" t="inlineStr">
        <is>
          <t>TANUM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45525</v>
      </c>
      <c r="E332" s="1" t="n">
        <v>46231</v>
      </c>
      <c r="F332" t="inlineStr">
        <is>
          <t>VÄSTRA GÖTALANDS LÄN</t>
        </is>
      </c>
      <c r="G332" t="inlineStr">
        <is>
          <t>TANUM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46231</v>
      </c>
      <c r="F333" t="inlineStr">
        <is>
          <t>VÄSTRA GÖTALANDS LÄN</t>
        </is>
      </c>
      <c r="G333" t="inlineStr">
        <is>
          <t>TANUM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45761</v>
      </c>
      <c r="E334" s="1" t="n">
        <v>46231</v>
      </c>
      <c r="F334" t="inlineStr">
        <is>
          <t>VÄSTRA GÖTALANDS LÄN</t>
        </is>
      </c>
      <c r="G334" t="inlineStr">
        <is>
          <t>TANUM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46231</v>
      </c>
      <c r="F335" t="inlineStr">
        <is>
          <t>VÄSTRA GÖTALANDS LÄN</t>
        </is>
      </c>
      <c r="G335" t="inlineStr">
        <is>
          <t>TANUM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68161-2021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44526</v>
      </c>
      <c r="E336" s="1" t="n">
        <v>46231</v>
      </c>
      <c r="F336" t="inlineStr">
        <is>
          <t>VÄSTRA GÖTALANDS LÄN</t>
        </is>
      </c>
      <c r="G336" t="inlineStr">
        <is>
          <t>TANUM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22434-2024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46231</v>
      </c>
      <c r="F337" t="inlineStr">
        <is>
          <t>VÄSTRA GÖTALANDS LÄN</t>
        </is>
      </c>
      <c r="G337" t="inlineStr">
        <is>
          <t>TANUM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49687-2024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45596</v>
      </c>
      <c r="E338" s="1" t="n">
        <v>46231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46231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45035</v>
      </c>
      <c r="E340" s="1" t="n">
        <v>46231</v>
      </c>
      <c r="F340" t="inlineStr">
        <is>
          <t>VÄSTRA GÖTALANDS LÄN</t>
        </is>
      </c>
      <c r="G340" t="inlineStr">
        <is>
          <t>TANUM</t>
        </is>
      </c>
      <c r="H340" t="inlineStr">
        <is>
          <t>Kyrkan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46231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46231</v>
      </c>
      <c r="F342" t="inlineStr">
        <is>
          <t>VÄSTRA GÖTALANDS LÄN</t>
        </is>
      </c>
      <c r="G342" t="inlineStr">
        <is>
          <t>TANUM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46231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46231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10743-2022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44627</v>
      </c>
      <c r="E345" s="1" t="n">
        <v>46231</v>
      </c>
      <c r="F345" t="inlineStr">
        <is>
          <t>VÄSTRA GÖTALANDS LÄN</t>
        </is>
      </c>
      <c r="G345" t="inlineStr">
        <is>
          <t>TANUM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73810-2021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44552</v>
      </c>
      <c r="E346" s="1" t="n">
        <v>46231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30322-2026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46207</v>
      </c>
      <c r="E347" s="1" t="n">
        <v>46231</v>
      </c>
      <c r="F347" t="inlineStr">
        <is>
          <t>VÄSTRA GÖTALANDS LÄN</t>
        </is>
      </c>
      <c r="G347" t="inlineStr">
        <is>
          <t>TANUM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46231</v>
      </c>
      <c r="F348" t="inlineStr">
        <is>
          <t>VÄSTRA GÖTALANDS LÄN</t>
        </is>
      </c>
      <c r="G348" t="inlineStr">
        <is>
          <t>TANUM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18882-2026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46129</v>
      </c>
      <c r="E349" s="1" t="n">
        <v>46231</v>
      </c>
      <c r="F349" t="inlineStr">
        <is>
          <t>VÄSTRA GÖTALANDS LÄN</t>
        </is>
      </c>
      <c r="G349" t="inlineStr">
        <is>
          <t>TANUM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46231</v>
      </c>
      <c r="F350" t="inlineStr">
        <is>
          <t>VÄSTRA GÖTALANDS LÄN</t>
        </is>
      </c>
      <c r="G350" t="inlineStr">
        <is>
          <t>TANUM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45673</v>
      </c>
      <c r="E351" s="1" t="n">
        <v>46231</v>
      </c>
      <c r="F351" t="inlineStr">
        <is>
          <t>VÄSTRA GÖTALANDS LÄN</t>
        </is>
      </c>
      <c r="G351" t="inlineStr">
        <is>
          <t>TANUM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20190-2022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44698</v>
      </c>
      <c r="E352" s="1" t="n">
        <v>46231</v>
      </c>
      <c r="F352" t="inlineStr">
        <is>
          <t>VÄSTRA GÖTALANDS LÄN</t>
        </is>
      </c>
      <c r="G352" t="inlineStr">
        <is>
          <t>TANUM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46231</v>
      </c>
      <c r="F353" t="inlineStr">
        <is>
          <t>VÄSTRA GÖTALANDS LÄN</t>
        </is>
      </c>
      <c r="G353" t="inlineStr">
        <is>
          <t>TANUM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46231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46231</v>
      </c>
      <c r="F355" t="inlineStr">
        <is>
          <t>VÄSTRA GÖTALANDS LÄN</t>
        </is>
      </c>
      <c r="G355" t="inlineStr">
        <is>
          <t>TANUM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45655</v>
      </c>
      <c r="E356" s="1" t="n">
        <v>46231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46231</v>
      </c>
      <c r="F357" t="inlineStr">
        <is>
          <t>VÄSTRA GÖTALANDS LÄN</t>
        </is>
      </c>
      <c r="G357" t="inlineStr">
        <is>
          <t>TANUM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46177</v>
      </c>
      <c r="E358" s="1" t="n">
        <v>46231</v>
      </c>
      <c r="F358" t="inlineStr">
        <is>
          <t>VÄSTRA GÖTALANDS LÄN</t>
        </is>
      </c>
      <c r="G358" t="inlineStr">
        <is>
          <t>TANUM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46231</v>
      </c>
      <c r="F359" t="inlineStr">
        <is>
          <t>VÄSTRA GÖTALANDS LÄN</t>
        </is>
      </c>
      <c r="G359" t="inlineStr">
        <is>
          <t>TANUM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46231</v>
      </c>
      <c r="F360" t="inlineStr">
        <is>
          <t>VÄSTRA GÖTALANDS LÄN</t>
        </is>
      </c>
      <c r="G360" t="inlineStr">
        <is>
          <t>TANUM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45972</v>
      </c>
      <c r="E361" s="1" t="n">
        <v>46231</v>
      </c>
      <c r="F361" t="inlineStr">
        <is>
          <t>VÄSTRA GÖTALANDS LÄN</t>
        </is>
      </c>
      <c r="G361" t="inlineStr">
        <is>
          <t>TANUM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46231</v>
      </c>
      <c r="F362" t="inlineStr">
        <is>
          <t>VÄSTRA GÖTALANDS LÄN</t>
        </is>
      </c>
      <c r="G362" t="inlineStr">
        <is>
          <t>TANUM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46231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46231</v>
      </c>
      <c r="F364" t="inlineStr">
        <is>
          <t>VÄSTRA GÖTALANDS LÄN</t>
        </is>
      </c>
      <c r="G364" t="inlineStr">
        <is>
          <t>TANUM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45972</v>
      </c>
      <c r="E365" s="1" t="n">
        <v>46231</v>
      </c>
      <c r="F365" t="inlineStr">
        <is>
          <t>VÄSTRA GÖTALANDS LÄN</t>
        </is>
      </c>
      <c r="G365" t="inlineStr">
        <is>
          <t>TANUM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44894-2023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45190</v>
      </c>
      <c r="E366" s="1" t="n">
        <v>46231</v>
      </c>
      <c r="F366" t="inlineStr">
        <is>
          <t>VÄSTRA GÖTALANDS LÄN</t>
        </is>
      </c>
      <c r="G366" t="inlineStr">
        <is>
          <t>TANUM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46231</v>
      </c>
      <c r="F367" t="inlineStr">
        <is>
          <t>VÄSTRA GÖTALANDS LÄN</t>
        </is>
      </c>
      <c r="G367" t="inlineStr">
        <is>
          <t>TANUM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46231</v>
      </c>
      <c r="F368" t="inlineStr">
        <is>
          <t>VÄSTRA GÖTALANDS LÄN</t>
        </is>
      </c>
      <c r="G368" t="inlineStr">
        <is>
          <t>TANUM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21240-2024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45440</v>
      </c>
      <c r="E369" s="1" t="n">
        <v>46231</v>
      </c>
      <c r="F369" t="inlineStr">
        <is>
          <t>VÄSTRA GÖTALANDS LÄN</t>
        </is>
      </c>
      <c r="G369" t="inlineStr">
        <is>
          <t>TANUM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46231</v>
      </c>
      <c r="F370" t="inlineStr">
        <is>
          <t>VÄSTRA GÖTALANDS LÄN</t>
        </is>
      </c>
      <c r="G370" t="inlineStr">
        <is>
          <t>TANUM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46231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46231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46231</v>
      </c>
      <c r="F373" t="inlineStr">
        <is>
          <t>VÄSTRA GÖTALANDS LÄN</t>
        </is>
      </c>
      <c r="G373" t="inlineStr">
        <is>
          <t>TANUM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46231</v>
      </c>
      <c r="F374" t="inlineStr">
        <is>
          <t>VÄSTRA GÖTALANDS LÄN</t>
        </is>
      </c>
      <c r="G374" t="inlineStr">
        <is>
          <t>TANUM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14269-2022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46231</v>
      </c>
      <c r="F375" t="inlineStr">
        <is>
          <t>VÄSTRA GÖTALANDS LÄN</t>
        </is>
      </c>
      <c r="G375" t="inlineStr">
        <is>
          <t>TANUM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46231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58809-2025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45987</v>
      </c>
      <c r="E377" s="1" t="n">
        <v>46231</v>
      </c>
      <c r="F377" t="inlineStr">
        <is>
          <t>VÄSTRA GÖTALANDS LÄN</t>
        </is>
      </c>
      <c r="G377" t="inlineStr">
        <is>
          <t>TANUM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34331-2022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44792</v>
      </c>
      <c r="E378" s="1" t="n">
        <v>46231</v>
      </c>
      <c r="F378" t="inlineStr">
        <is>
          <t>VÄSTRA GÖTALANDS LÄN</t>
        </is>
      </c>
      <c r="G378" t="inlineStr">
        <is>
          <t>TANUM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46231</v>
      </c>
      <c r="F379" t="inlineStr">
        <is>
          <t>VÄSTRA GÖTALANDS LÄN</t>
        </is>
      </c>
      <c r="G379" t="inlineStr">
        <is>
          <t>TANUM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45303</v>
      </c>
      <c r="E380" s="1" t="n">
        <v>46231</v>
      </c>
      <c r="F380" t="inlineStr">
        <is>
          <t>VÄSTRA GÖTALANDS LÄN</t>
        </is>
      </c>
      <c r="G380" t="inlineStr">
        <is>
          <t>TANUM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45154</v>
      </c>
      <c r="E381" s="1" t="n">
        <v>46231</v>
      </c>
      <c r="F381" t="inlineStr">
        <is>
          <t>VÄSTRA GÖTALANDS LÄN</t>
        </is>
      </c>
      <c r="G381" t="inlineStr">
        <is>
          <t>TANUM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35599-2022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44799</v>
      </c>
      <c r="E382" s="1" t="n">
        <v>46231</v>
      </c>
      <c r="F382" t="inlineStr">
        <is>
          <t>VÄSTRA GÖTALANDS LÄN</t>
        </is>
      </c>
      <c r="G382" t="inlineStr">
        <is>
          <t>TANUM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26508-2022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44739</v>
      </c>
      <c r="E383" s="1" t="n">
        <v>46231</v>
      </c>
      <c r="F383" t="inlineStr">
        <is>
          <t>VÄSTRA GÖTALANDS LÄN</t>
        </is>
      </c>
      <c r="G383" t="inlineStr">
        <is>
          <t>TANUM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45293</v>
      </c>
      <c r="E384" s="1" t="n">
        <v>46231</v>
      </c>
      <c r="F384" t="inlineStr">
        <is>
          <t>VÄSTRA GÖTALANDS LÄN</t>
        </is>
      </c>
      <c r="G384" t="inlineStr">
        <is>
          <t>TANUM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44725</v>
      </c>
      <c r="E385" s="1" t="n">
        <v>46231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46231</v>
      </c>
      <c r="F386" t="inlineStr">
        <is>
          <t>VÄSTRA GÖTALANDS LÄN</t>
        </is>
      </c>
      <c r="G386" t="inlineStr">
        <is>
          <t>TANUM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44799</v>
      </c>
      <c r="E387" s="1" t="n">
        <v>46231</v>
      </c>
      <c r="F387" t="inlineStr">
        <is>
          <t>VÄSTRA GÖTALANDS LÄN</t>
        </is>
      </c>
      <c r="G387" t="inlineStr">
        <is>
          <t>TANUM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46231</v>
      </c>
      <c r="F388" t="inlineStr">
        <is>
          <t>VÄSTRA GÖTALANDS LÄN</t>
        </is>
      </c>
      <c r="G388" t="inlineStr">
        <is>
          <t>TANUM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46231</v>
      </c>
      <c r="F389" t="inlineStr">
        <is>
          <t>VÄSTRA GÖTALANDS LÄN</t>
        </is>
      </c>
      <c r="G389" t="inlineStr">
        <is>
          <t>TANUM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46231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62676-2023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46231</v>
      </c>
      <c r="F391" t="inlineStr">
        <is>
          <t>VÄSTRA GÖTALANDS LÄN</t>
        </is>
      </c>
      <c r="G391" t="inlineStr">
        <is>
          <t>TANUM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42080-2021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44426</v>
      </c>
      <c r="E392" s="1" t="n">
        <v>46231</v>
      </c>
      <c r="F392" t="inlineStr">
        <is>
          <t>VÄSTRA GÖTALANDS LÄN</t>
        </is>
      </c>
      <c r="G392" t="inlineStr">
        <is>
          <t>TANUM</t>
        </is>
      </c>
      <c r="H392" t="inlineStr">
        <is>
          <t>Kyrkan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44812-2021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44438</v>
      </c>
      <c r="E393" s="1" t="n">
        <v>46231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46000</v>
      </c>
      <c r="E394" s="1" t="n">
        <v>46231</v>
      </c>
      <c r="F394" t="inlineStr">
        <is>
          <t>VÄSTRA GÖTALANDS LÄN</t>
        </is>
      </c>
      <c r="G394" t="inlineStr">
        <is>
          <t>TANUM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46231</v>
      </c>
      <c r="F395" t="inlineStr">
        <is>
          <t>VÄSTRA GÖTALANDS LÄN</t>
        </is>
      </c>
      <c r="G395" t="inlineStr">
        <is>
          <t>TANUM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45747-2021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44441</v>
      </c>
      <c r="E396" s="1" t="n">
        <v>46231</v>
      </c>
      <c r="F396" t="inlineStr">
        <is>
          <t>VÄSTRA GÖTALANDS LÄN</t>
        </is>
      </c>
      <c r="G396" t="inlineStr">
        <is>
          <t>TANUM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46231</v>
      </c>
      <c r="F397" t="inlineStr">
        <is>
          <t>VÄSTRA GÖTALANDS LÄN</t>
        </is>
      </c>
      <c r="G397" t="inlineStr">
        <is>
          <t>TANUM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46231</v>
      </c>
      <c r="F398" t="inlineStr">
        <is>
          <t>VÄSTRA GÖTALANDS LÄN</t>
        </is>
      </c>
      <c r="G398" t="inlineStr">
        <is>
          <t>TANUM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46231</v>
      </c>
      <c r="F399" t="inlineStr">
        <is>
          <t>VÄSTRA GÖTALANDS LÄN</t>
        </is>
      </c>
      <c r="G399" t="inlineStr">
        <is>
          <t>TANUM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46231</v>
      </c>
      <c r="F400" t="inlineStr">
        <is>
          <t>VÄSTRA GÖTALANDS LÄN</t>
        </is>
      </c>
      <c r="G400" t="inlineStr">
        <is>
          <t>TANUM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45273</v>
      </c>
      <c r="E401" s="1" t="n">
        <v>46231</v>
      </c>
      <c r="F401" t="inlineStr">
        <is>
          <t>VÄSTRA GÖTALANDS LÄN</t>
        </is>
      </c>
      <c r="G401" t="inlineStr">
        <is>
          <t>TANUM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46231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60624-2021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46231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46231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46231</v>
      </c>
      <c r="F405" t="inlineStr">
        <is>
          <t>VÄSTRA GÖTALANDS LÄN</t>
        </is>
      </c>
      <c r="G405" t="inlineStr">
        <is>
          <t>TANUM</t>
        </is>
      </c>
      <c r="H405" t="inlineStr">
        <is>
          <t>Naturvårdsverket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46231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46231</v>
      </c>
      <c r="F407" t="inlineStr">
        <is>
          <t>VÄSTRA GÖTALANDS LÄN</t>
        </is>
      </c>
      <c r="G407" t="inlineStr">
        <is>
          <t>TANUM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46231</v>
      </c>
      <c r="F408" t="inlineStr">
        <is>
          <t>VÄSTRA GÖTALANDS LÄN</t>
        </is>
      </c>
      <c r="G408" t="inlineStr">
        <is>
          <t>TANUM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61715-2023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45265</v>
      </c>
      <c r="E409" s="1" t="n">
        <v>46231</v>
      </c>
      <c r="F409" t="inlineStr">
        <is>
          <t>VÄSTRA GÖTALANDS LÄN</t>
        </is>
      </c>
      <c r="G409" t="inlineStr">
        <is>
          <t>TANUM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45355</v>
      </c>
      <c r="E410" s="1" t="n">
        <v>46231</v>
      </c>
      <c r="F410" t="inlineStr">
        <is>
          <t>VÄSTRA GÖTALANDS LÄN</t>
        </is>
      </c>
      <c r="G410" t="inlineStr">
        <is>
          <t>TANUM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43242-2022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46231</v>
      </c>
      <c r="F411" t="inlineStr">
        <is>
          <t>VÄSTRA GÖTALANDS LÄN</t>
        </is>
      </c>
      <c r="G411" t="inlineStr">
        <is>
          <t>TANUM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45303</v>
      </c>
      <c r="E412" s="1" t="n">
        <v>46231</v>
      </c>
      <c r="F412" t="inlineStr">
        <is>
          <t>VÄSTRA GÖTALANDS LÄN</t>
        </is>
      </c>
      <c r="G412" t="inlineStr">
        <is>
          <t>TANUM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46231</v>
      </c>
      <c r="F413" t="inlineStr">
        <is>
          <t>VÄSTRA GÖTALANDS LÄN</t>
        </is>
      </c>
      <c r="G413" t="inlineStr">
        <is>
          <t>TANUM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44585</v>
      </c>
      <c r="E414" s="1" t="n">
        <v>46231</v>
      </c>
      <c r="F414" t="inlineStr">
        <is>
          <t>VÄSTRA GÖTALANDS LÄN</t>
        </is>
      </c>
      <c r="G414" t="inlineStr">
        <is>
          <t>TANUM</t>
        </is>
      </c>
      <c r="I414" t="n">
        <v>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44908</v>
      </c>
      <c r="E415" s="1" t="n">
        <v>46231</v>
      </c>
      <c r="F415" t="inlineStr">
        <is>
          <t>VÄSTRA GÖTALANDS LÄN</t>
        </is>
      </c>
      <c r="G415" t="inlineStr">
        <is>
          <t>TANUM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46231</v>
      </c>
      <c r="F416" t="inlineStr">
        <is>
          <t>VÄSTRA GÖTALANDS LÄN</t>
        </is>
      </c>
      <c r="G416" t="inlineStr">
        <is>
          <t>TANUM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45261</v>
      </c>
      <c r="E417" s="1" t="n">
        <v>46231</v>
      </c>
      <c r="F417" t="inlineStr">
        <is>
          <t>VÄSTRA GÖTALANDS LÄN</t>
        </is>
      </c>
      <c r="G417" t="inlineStr">
        <is>
          <t>TANUM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46231</v>
      </c>
      <c r="F418" t="inlineStr">
        <is>
          <t>VÄSTRA GÖTALANDS LÄN</t>
        </is>
      </c>
      <c r="G418" t="inlineStr">
        <is>
          <t>TANUM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46231</v>
      </c>
      <c r="F419" t="inlineStr">
        <is>
          <t>VÄSTRA GÖTALANDS LÄN</t>
        </is>
      </c>
      <c r="G419" t="inlineStr">
        <is>
          <t>TANUM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44867</v>
      </c>
      <c r="E420" s="1" t="n">
        <v>46231</v>
      </c>
      <c r="F420" t="inlineStr">
        <is>
          <t>VÄSTRA GÖTALANDS LÄN</t>
        </is>
      </c>
      <c r="G420" t="inlineStr">
        <is>
          <t>TANUM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11145-2024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45371</v>
      </c>
      <c r="E421" s="1" t="n">
        <v>46231</v>
      </c>
      <c r="F421" t="inlineStr">
        <is>
          <t>VÄSTRA GÖTALANDS LÄN</t>
        </is>
      </c>
      <c r="G421" t="inlineStr">
        <is>
          <t>TANUM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45350</v>
      </c>
      <c r="E422" s="1" t="n">
        <v>46231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70979-2021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46231</v>
      </c>
      <c r="F423" t="inlineStr">
        <is>
          <t>VÄSTRA GÖTALANDS LÄN</t>
        </is>
      </c>
      <c r="G423" t="inlineStr">
        <is>
          <t>TANUM</t>
        </is>
      </c>
      <c r="I423" t="n">
        <v>19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45002</v>
      </c>
      <c r="E424" s="1" t="n">
        <v>46231</v>
      </c>
      <c r="F424" t="inlineStr">
        <is>
          <t>VÄSTRA GÖTALANDS LÄN</t>
        </is>
      </c>
      <c r="G424" t="inlineStr">
        <is>
          <t>TANUM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64997-2023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45286</v>
      </c>
      <c r="E425" s="1" t="n">
        <v>46231</v>
      </c>
      <c r="F425" t="inlineStr">
        <is>
          <t>VÄSTRA GÖTALANDS LÄN</t>
        </is>
      </c>
      <c r="G425" t="inlineStr">
        <is>
          <t>TANUM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46231</v>
      </c>
      <c r="F426" t="inlineStr">
        <is>
          <t>VÄSTRA GÖTALANDS LÄN</t>
        </is>
      </c>
      <c r="G426" t="inlineStr">
        <is>
          <t>TANUM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46231</v>
      </c>
      <c r="F427" t="inlineStr">
        <is>
          <t>VÄSTRA GÖTALANDS LÄN</t>
        </is>
      </c>
      <c r="G427" t="inlineStr">
        <is>
          <t>TANUM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46231</v>
      </c>
      <c r="F428" t="inlineStr">
        <is>
          <t>VÄSTRA GÖTALANDS LÄN</t>
        </is>
      </c>
      <c r="G428" t="inlineStr">
        <is>
          <t>TANUM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46231</v>
      </c>
      <c r="F429" t="inlineStr">
        <is>
          <t>VÄSTRA GÖTALANDS LÄN</t>
        </is>
      </c>
      <c r="G429" t="inlineStr">
        <is>
          <t>TANUM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44944</v>
      </c>
      <c r="E430" s="1" t="n">
        <v>46231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45153</v>
      </c>
      <c r="E431" s="1" t="n">
        <v>46231</v>
      </c>
      <c r="F431" t="inlineStr">
        <is>
          <t>VÄSTRA GÖTALANDS LÄN</t>
        </is>
      </c>
      <c r="G431" t="inlineStr">
        <is>
          <t>TANUM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49746-2021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44455</v>
      </c>
      <c r="E432" s="1" t="n">
        <v>46231</v>
      </c>
      <c r="F432" t="inlineStr">
        <is>
          <t>VÄSTRA GÖTALANDS LÄN</t>
        </is>
      </c>
      <c r="G432" t="inlineStr">
        <is>
          <t>TANUM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45311</v>
      </c>
      <c r="E433" s="1" t="n">
        <v>46231</v>
      </c>
      <c r="F433" t="inlineStr">
        <is>
          <t>VÄSTRA GÖTALANDS LÄN</t>
        </is>
      </c>
      <c r="G433" t="inlineStr">
        <is>
          <t>TANUM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45599</v>
      </c>
      <c r="E434" s="1" t="n">
        <v>46231</v>
      </c>
      <c r="F434" t="inlineStr">
        <is>
          <t>VÄSTRA GÖTALANDS LÄN</t>
        </is>
      </c>
      <c r="G434" t="inlineStr">
        <is>
          <t>TANUM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45692</v>
      </c>
      <c r="E435" s="1" t="n">
        <v>46231</v>
      </c>
      <c r="F435" t="inlineStr">
        <is>
          <t>VÄSTRA GÖTALANDS LÄN</t>
        </is>
      </c>
      <c r="G435" t="inlineStr">
        <is>
          <t>TANUM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45162</v>
      </c>
      <c r="E436" s="1" t="n">
        <v>46231</v>
      </c>
      <c r="F436" t="inlineStr">
        <is>
          <t>VÄSTRA GÖTALANDS LÄN</t>
        </is>
      </c>
      <c r="G436" t="inlineStr">
        <is>
          <t>TANUM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32757-2024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45516</v>
      </c>
      <c r="E437" s="1" t="n">
        <v>46231</v>
      </c>
      <c r="F437" t="inlineStr">
        <is>
          <t>VÄSTRA GÖTALANDS LÄN</t>
        </is>
      </c>
      <c r="G437" t="inlineStr">
        <is>
          <t>TANUM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17515-2024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45415</v>
      </c>
      <c r="E438" s="1" t="n">
        <v>46231</v>
      </c>
      <c r="F438" t="inlineStr">
        <is>
          <t>VÄSTRA GÖTALANDS LÄN</t>
        </is>
      </c>
      <c r="G438" t="inlineStr">
        <is>
          <t>TANUM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56379-2022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44890</v>
      </c>
      <c r="E439" s="1" t="n">
        <v>46231</v>
      </c>
      <c r="F439" t="inlineStr">
        <is>
          <t>VÄSTRA GÖTALANDS LÄN</t>
        </is>
      </c>
      <c r="G439" t="inlineStr">
        <is>
          <t>TANUM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46231</v>
      </c>
      <c r="F440" t="inlineStr">
        <is>
          <t>VÄSTRA GÖTALANDS LÄN</t>
        </is>
      </c>
      <c r="G440" t="inlineStr">
        <is>
          <t>TANUM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16644-2025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46231</v>
      </c>
      <c r="F441" t="inlineStr">
        <is>
          <t>VÄSTRA GÖTALANDS LÄN</t>
        </is>
      </c>
      <c r="G441" t="inlineStr">
        <is>
          <t>TANUM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45102</v>
      </c>
      <c r="E442" s="1" t="n">
        <v>46231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45209</v>
      </c>
      <c r="E443" s="1" t="n">
        <v>46231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8600-2024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46231</v>
      </c>
      <c r="F444" t="inlineStr">
        <is>
          <t>VÄSTRA GÖTALANDS LÄN</t>
        </is>
      </c>
      <c r="G444" t="inlineStr">
        <is>
          <t>TANUM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46231</v>
      </c>
      <c r="F445" t="inlineStr">
        <is>
          <t>VÄSTRA GÖTALANDS LÄN</t>
        </is>
      </c>
      <c r="G445" t="inlineStr">
        <is>
          <t>TANUM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45635</v>
      </c>
      <c r="E446" s="1" t="n">
        <v>46231</v>
      </c>
      <c r="F446" t="inlineStr">
        <is>
          <t>VÄSTRA GÖTALANDS LÄN</t>
        </is>
      </c>
      <c r="G446" t="inlineStr">
        <is>
          <t>TANUM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46231</v>
      </c>
      <c r="F447" t="inlineStr">
        <is>
          <t>VÄSTRA GÖTALANDS LÄN</t>
        </is>
      </c>
      <c r="G447" t="inlineStr">
        <is>
          <t>TANUM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46231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45075</v>
      </c>
      <c r="E449" s="1" t="n">
        <v>46231</v>
      </c>
      <c r="F449" t="inlineStr">
        <is>
          <t>VÄSTRA GÖTALANDS LÄN</t>
        </is>
      </c>
      <c r="G449" t="inlineStr">
        <is>
          <t>TANUM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45170</v>
      </c>
      <c r="E450" s="1" t="n">
        <v>46231</v>
      </c>
      <c r="F450" t="inlineStr">
        <is>
          <t>VÄSTRA GÖTALANDS LÄN</t>
        </is>
      </c>
      <c r="G450" t="inlineStr">
        <is>
          <t>TANUM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46241-2023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45196</v>
      </c>
      <c r="E451" s="1" t="n">
        <v>46231</v>
      </c>
      <c r="F451" t="inlineStr">
        <is>
          <t>VÄSTRA GÖTALANDS LÄN</t>
        </is>
      </c>
      <c r="G451" t="inlineStr">
        <is>
          <t>TANUM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46231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45334</v>
      </c>
      <c r="E453" s="1" t="n">
        <v>46231</v>
      </c>
      <c r="F453" t="inlineStr">
        <is>
          <t>VÄSTRA GÖTALANDS LÄN</t>
        </is>
      </c>
      <c r="G453" t="inlineStr">
        <is>
          <t>TANUM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45026</v>
      </c>
      <c r="E454" s="1" t="n">
        <v>46231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45728</v>
      </c>
      <c r="E455" s="1" t="n">
        <v>46231</v>
      </c>
      <c r="F455" t="inlineStr">
        <is>
          <t>VÄSTRA GÖTALANDS LÄN</t>
        </is>
      </c>
      <c r="G455" t="inlineStr">
        <is>
          <t>TANUM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46231</v>
      </c>
      <c r="F456" t="inlineStr">
        <is>
          <t>VÄSTRA GÖTALANDS LÄN</t>
        </is>
      </c>
      <c r="G456" t="inlineStr">
        <is>
          <t>TANUM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55022-2023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46231</v>
      </c>
      <c r="F457" t="inlineStr">
        <is>
          <t>VÄSTRA GÖTALANDS LÄN</t>
        </is>
      </c>
      <c r="G457" t="inlineStr">
        <is>
          <t>TANUM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46231</v>
      </c>
      <c r="F458" t="inlineStr">
        <is>
          <t>VÄSTRA GÖTALANDS LÄN</t>
        </is>
      </c>
      <c r="G458" t="inlineStr">
        <is>
          <t>TANUM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45454</v>
      </c>
      <c r="E459" s="1" t="n">
        <v>46231</v>
      </c>
      <c r="F459" t="inlineStr">
        <is>
          <t>VÄSTRA GÖTALANDS LÄN</t>
        </is>
      </c>
      <c r="G459" t="inlineStr">
        <is>
          <t>TANUM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45515</v>
      </c>
      <c r="E460" s="1" t="n">
        <v>46231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45603</v>
      </c>
      <c r="E461" s="1" t="n">
        <v>46231</v>
      </c>
      <c r="F461" t="inlineStr">
        <is>
          <t>VÄSTRA GÖTALANDS LÄN</t>
        </is>
      </c>
      <c r="G461" t="inlineStr">
        <is>
          <t>TANUM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44889-2022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44841</v>
      </c>
      <c r="E462" s="1" t="n">
        <v>46231</v>
      </c>
      <c r="F462" t="inlineStr">
        <is>
          <t>VÄSTRA GÖTALANDS LÄN</t>
        </is>
      </c>
      <c r="G462" t="inlineStr">
        <is>
          <t>TANUM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45748</v>
      </c>
      <c r="E463" s="1" t="n">
        <v>46231</v>
      </c>
      <c r="F463" t="inlineStr">
        <is>
          <t>VÄSTRA GÖTALANDS LÄN</t>
        </is>
      </c>
      <c r="G463" t="inlineStr">
        <is>
          <t>TANUM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45072</v>
      </c>
      <c r="E464" s="1" t="n">
        <v>46231</v>
      </c>
      <c r="F464" t="inlineStr">
        <is>
          <t>VÄSTRA GÖTALANDS LÄN</t>
        </is>
      </c>
      <c r="G464" t="inlineStr">
        <is>
          <t>TANUM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45789</v>
      </c>
      <c r="E465" s="1" t="n">
        <v>46231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46231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46231</v>
      </c>
      <c r="F467" t="inlineStr">
        <is>
          <t>VÄSTRA GÖTALANDS LÄN</t>
        </is>
      </c>
      <c r="G467" t="inlineStr">
        <is>
          <t>TANUM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46231</v>
      </c>
      <c r="F468" t="inlineStr">
        <is>
          <t>VÄSTRA GÖTALANDS LÄN</t>
        </is>
      </c>
      <c r="G468" t="inlineStr">
        <is>
          <t>TANUM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46231</v>
      </c>
      <c r="F469" t="inlineStr">
        <is>
          <t>VÄSTRA GÖTALANDS LÄN</t>
        </is>
      </c>
      <c r="G469" t="inlineStr">
        <is>
          <t>TANUM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46231</v>
      </c>
      <c r="F470" t="inlineStr">
        <is>
          <t>VÄSTRA GÖTALANDS LÄN</t>
        </is>
      </c>
      <c r="G470" t="inlineStr">
        <is>
          <t>TANUM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46231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46231</v>
      </c>
      <c r="F472" t="inlineStr">
        <is>
          <t>VÄSTRA GÖTALANDS LÄN</t>
        </is>
      </c>
      <c r="G472" t="inlineStr">
        <is>
          <t>TANUM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46231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45551</v>
      </c>
      <c r="E474" s="1" t="n">
        <v>46231</v>
      </c>
      <c r="F474" t="inlineStr">
        <is>
          <t>VÄSTRA GÖTALANDS LÄN</t>
        </is>
      </c>
      <c r="G474" t="inlineStr">
        <is>
          <t>TANUM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46231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53421-2022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44879</v>
      </c>
      <c r="E476" s="1" t="n">
        <v>46231</v>
      </c>
      <c r="F476" t="inlineStr">
        <is>
          <t>VÄSTRA GÖTALANDS LÄN</t>
        </is>
      </c>
      <c r="G476" t="inlineStr">
        <is>
          <t>TANUM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45743</v>
      </c>
      <c r="E477" s="1" t="n">
        <v>46231</v>
      </c>
      <c r="F477" t="inlineStr">
        <is>
          <t>VÄSTRA GÖTALANDS LÄN</t>
        </is>
      </c>
      <c r="G477" t="inlineStr">
        <is>
          <t>TANUM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45362</v>
      </c>
      <c r="E478" s="1" t="n">
        <v>46231</v>
      </c>
      <c r="F478" t="inlineStr">
        <is>
          <t>VÄSTRA GÖTALANDS LÄN</t>
        </is>
      </c>
      <c r="G478" t="inlineStr">
        <is>
          <t>TANUM</t>
        </is>
      </c>
      <c r="H478" t="inlineStr">
        <is>
          <t>Kyrkan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46231</v>
      </c>
      <c r="F479" t="inlineStr">
        <is>
          <t>VÄSTRA GÖTALANDS LÄN</t>
        </is>
      </c>
      <c r="G479" t="inlineStr">
        <is>
          <t>TANUM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46231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46231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46231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46231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46231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46231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2026-07-28T01:51:36Z</dcterms:created>
  <dcterms:modified xmlns:dcterms="http://purl.org/dc/terms/" xmlns:xsi="http://www.w3.org/2001/XMLSchema-instance" xsi:type="dcterms:W3CDTF">2026-07-28T01:51:37Z</dcterms:modified>
</cp:coreProperties>
</file>