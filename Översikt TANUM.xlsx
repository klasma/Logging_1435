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46298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46298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46298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46298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46298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46298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46298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46298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46298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46298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46298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46298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46298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46298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46298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46298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46298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46298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46298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46298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46298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46298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46298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46298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46298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46298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46298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46298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46298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46298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46298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46298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46298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46298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46298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46298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46298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46298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46298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36121-2025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45866</v>
      </c>
      <c r="E47" s="1" t="n">
        <v>46298</v>
      </c>
      <c r="F47" t="inlineStr">
        <is>
          <t>VÄSTRA GÖTALANDS LÄN</t>
        </is>
      </c>
      <c r="G47" t="inlineStr">
        <is>
          <t>TANUM</t>
        </is>
      </c>
      <c r="I47" t="n">
        <v>3.3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HYPERLINK("https://klasma.github.io/Logging_1435/artfynd/A 36121-2025 artfynd.xlsx", "A 36121-2025")</f>
        <v/>
      </c>
      <c r="X47">
        <f>HYPERLINK("https://klasma.github.io/Logging_1435/kartor/A 36121-2025 karta.png", "A 36121-2025")</f>
        <v/>
      </c>
      <c r="Y47">
        <f>HYPERLINK("https://klasma.github.io/Logging_1435/kartor_geotiff/A 36121-2025 georefererad karta.tif", "A 36121-2025")</f>
        <v/>
      </c>
      <c r="AA47">
        <f>HYPERLINK("https://klasma.github.io/Logging_1435/klagomål/A 36121-2025 FSC-klagomål.docx", "A 36121-2025")</f>
        <v/>
      </c>
      <c r="AB47">
        <f>HYPERLINK("https://klasma.github.io/Logging_1435/klagomålsmail/A 36121-2025 FSC-klagomål mail.docx", "A 36121-2025")</f>
        <v/>
      </c>
      <c r="AC47">
        <f>HYPERLINK("https://klasma.github.io/Logging_1435/tillsyn/A 36121-2025 tillsynsbegäran.docx", "A 36121-2025")</f>
        <v/>
      </c>
      <c r="AD47">
        <f>HYPERLINK("https://klasma.github.io/Logging_1435/tillsynsmail/A 36121-2025 tillsynsbegäran mail.docx", "A 36121-2025")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46298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23151-2022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44719</v>
      </c>
      <c r="E49" s="1" t="n">
        <v>46298</v>
      </c>
      <c r="F49" t="inlineStr">
        <is>
          <t>VÄSTRA GÖTALANDS LÄN</t>
        </is>
      </c>
      <c r="G49" t="inlineStr">
        <is>
          <t>TANUM</t>
        </is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HYPERLINK("https://klasma.github.io/Logging_1435/artfynd/A 23151-2022 artfynd.xlsx", "A 23151-2022")</f>
        <v/>
      </c>
      <c r="X49">
        <f>HYPERLINK("https://klasma.github.io/Logging_1435/kartor/A 23151-2022 karta.png", "A 23151-2022")</f>
        <v/>
      </c>
      <c r="Y49">
        <f>HYPERLINK("https://klasma.github.io/Logging_1435/kartor_geotiff/A 23151-2022 georefererad karta.tif", "A 23151-2022")</f>
        <v/>
      </c>
      <c r="AA49">
        <f>HYPERLINK("https://klasma.github.io/Logging_1435/klagomål/A 23151-2022 FSC-klagomål.docx", "A 23151-2022")</f>
        <v/>
      </c>
      <c r="AB49">
        <f>HYPERLINK("https://klasma.github.io/Logging_1435/klagomålsmail/A 23151-2022 FSC-klagomål mail.docx", "A 23151-2022")</f>
        <v/>
      </c>
      <c r="AC49">
        <f>HYPERLINK("https://klasma.github.io/Logging_1435/tillsyn/A 23151-2022 tillsynsbegäran.docx", "A 23151-2022")</f>
        <v/>
      </c>
      <c r="AD49">
        <f>HYPERLINK("https://klasma.github.io/Logging_1435/tillsynsmail/A 23151-2022 tillsynsbegäran mail.docx", "A 23151-2022")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46298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46298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46298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46298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46298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46298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46298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46298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46298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46298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46298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46298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46298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46298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46298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46298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46298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46298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46298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46298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46298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46298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46298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46298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46298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44731</v>
      </c>
      <c r="E75" s="1" t="n">
        <v>46298</v>
      </c>
      <c r="F75" t="inlineStr">
        <is>
          <t>VÄSTRA GÖTALANDS LÄN</t>
        </is>
      </c>
      <c r="G75" t="inlineStr">
        <is>
          <t>TANUM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46298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46298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46298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46298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46298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46298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46298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46298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46298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46298</v>
      </c>
      <c r="F85" t="inlineStr">
        <is>
          <t>VÄSTRA GÖTALANDS LÄN</t>
        </is>
      </c>
      <c r="G85" t="inlineStr">
        <is>
          <t>TANUM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45488</v>
      </c>
      <c r="E86" s="1" t="n">
        <v>46298</v>
      </c>
      <c r="F86" t="inlineStr">
        <is>
          <t>VÄSTRA GÖTALANDS LÄN</t>
        </is>
      </c>
      <c r="G86" t="inlineStr">
        <is>
          <t>TANUM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46298</v>
      </c>
      <c r="F87" t="inlineStr">
        <is>
          <t>VÄSTRA GÖTALANDS LÄN</t>
        </is>
      </c>
      <c r="G87" t="inlineStr">
        <is>
          <t>TANUM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46298</v>
      </c>
      <c r="F88" t="inlineStr">
        <is>
          <t>VÄSTRA GÖTALANDS LÄN</t>
        </is>
      </c>
      <c r="G88" t="inlineStr">
        <is>
          <t>TANUM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46298</v>
      </c>
      <c r="F89" t="inlineStr">
        <is>
          <t>VÄSTRA GÖTALANDS LÄN</t>
        </is>
      </c>
      <c r="G89" t="inlineStr">
        <is>
          <t>TANUM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44490</v>
      </c>
      <c r="E90" s="1" t="n">
        <v>46298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44954</v>
      </c>
      <c r="E91" s="1" t="n">
        <v>46298</v>
      </c>
      <c r="F91" t="inlineStr">
        <is>
          <t>VÄSTRA GÖTALANDS LÄN</t>
        </is>
      </c>
      <c r="G91" t="inlineStr">
        <is>
          <t>TANUM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12343-2023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44999</v>
      </c>
      <c r="E92" s="1" t="n">
        <v>46298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46298</v>
      </c>
      <c r="F93" t="inlineStr">
        <is>
          <t>VÄSTRA GÖTALANDS LÄN</t>
        </is>
      </c>
      <c r="G93" t="inlineStr">
        <is>
          <t>TANUM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46298</v>
      </c>
      <c r="F94" t="inlineStr">
        <is>
          <t>VÄSTRA GÖTALANDS LÄN</t>
        </is>
      </c>
      <c r="G94" t="inlineStr">
        <is>
          <t>TANUM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45261</v>
      </c>
      <c r="E95" s="1" t="n">
        <v>46298</v>
      </c>
      <c r="F95" t="inlineStr">
        <is>
          <t>VÄSTRA GÖTALANDS LÄN</t>
        </is>
      </c>
      <c r="G95" t="inlineStr">
        <is>
          <t>TANUM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46298</v>
      </c>
      <c r="F96" t="inlineStr">
        <is>
          <t>VÄSTRA GÖTALANDS LÄN</t>
        </is>
      </c>
      <c r="G96" t="inlineStr">
        <is>
          <t>TANUM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46298</v>
      </c>
      <c r="F97" t="inlineStr">
        <is>
          <t>VÄSTRA GÖTALANDS LÄN</t>
        </is>
      </c>
      <c r="G97" t="inlineStr">
        <is>
          <t>TANUM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72227-2021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46298</v>
      </c>
      <c r="F98" t="inlineStr">
        <is>
          <t>VÄSTRA GÖTALANDS LÄN</t>
        </is>
      </c>
      <c r="G98" t="inlineStr">
        <is>
          <t>TANUM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45102</v>
      </c>
      <c r="E99" s="1" t="n">
        <v>46298</v>
      </c>
      <c r="F99" t="inlineStr">
        <is>
          <t>VÄSTRA GÖTALANDS LÄN</t>
        </is>
      </c>
      <c r="G99" t="inlineStr">
        <is>
          <t>TANUM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46298</v>
      </c>
      <c r="F100" t="inlineStr">
        <is>
          <t>VÄSTRA GÖTALANDS LÄN</t>
        </is>
      </c>
      <c r="G100" t="inlineStr">
        <is>
          <t>TANUM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46298</v>
      </c>
      <c r="F101" t="inlineStr">
        <is>
          <t>VÄSTRA GÖTALANDS LÄN</t>
        </is>
      </c>
      <c r="G101" t="inlineStr">
        <is>
          <t>TANUM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44997</v>
      </c>
      <c r="E102" s="1" t="n">
        <v>46298</v>
      </c>
      <c r="F102" t="inlineStr">
        <is>
          <t>VÄSTRA GÖTALANDS LÄN</t>
        </is>
      </c>
      <c r="G102" t="inlineStr">
        <is>
          <t>TANUM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46298</v>
      </c>
      <c r="F103" t="inlineStr">
        <is>
          <t>VÄSTRA GÖTALANDS LÄN</t>
        </is>
      </c>
      <c r="G103" t="inlineStr">
        <is>
          <t>TANUM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46298</v>
      </c>
      <c r="F104" t="inlineStr">
        <is>
          <t>VÄSTRA GÖTALANDS LÄN</t>
        </is>
      </c>
      <c r="G104" t="inlineStr">
        <is>
          <t>TANUM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46298</v>
      </c>
      <c r="F105" t="inlineStr">
        <is>
          <t>VÄSTRA GÖTALANDS LÄN</t>
        </is>
      </c>
      <c r="G105" t="inlineStr">
        <is>
          <t>TANUM</t>
        </is>
      </c>
      <c r="I105" t="n">
        <v>10.3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46298</v>
      </c>
      <c r="F106" t="inlineStr">
        <is>
          <t>VÄSTRA GÖTALANDS LÄN</t>
        </is>
      </c>
      <c r="G106" t="inlineStr">
        <is>
          <t>TANUM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46298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46298</v>
      </c>
      <c r="F108" t="inlineStr">
        <is>
          <t>VÄSTRA GÖTALANDS LÄN</t>
        </is>
      </c>
      <c r="G108" t="inlineStr">
        <is>
          <t>TANUM</t>
        </is>
      </c>
      <c r="I108" t="n">
        <v>12.2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44496</v>
      </c>
      <c r="E109" s="1" t="n">
        <v>46298</v>
      </c>
      <c r="F109" t="inlineStr">
        <is>
          <t>VÄSTRA GÖTALANDS LÄN</t>
        </is>
      </c>
      <c r="G109" t="inlineStr">
        <is>
          <t>TANUM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46298</v>
      </c>
      <c r="F110" t="inlineStr">
        <is>
          <t>VÄSTRA GÖTALANDS LÄN</t>
        </is>
      </c>
      <c r="G110" t="inlineStr">
        <is>
          <t>TANUM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46298</v>
      </c>
      <c r="F111" t="inlineStr">
        <is>
          <t>VÄSTRA GÖTALANDS LÄN</t>
        </is>
      </c>
      <c r="G111" t="inlineStr">
        <is>
          <t>TANUM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46298</v>
      </c>
      <c r="F112" t="inlineStr">
        <is>
          <t>VÄSTRA GÖTALANDS LÄN</t>
        </is>
      </c>
      <c r="G112" t="inlineStr">
        <is>
          <t>TANUM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46298</v>
      </c>
      <c r="F113" t="inlineStr">
        <is>
          <t>VÄSTRA GÖTALANDS LÄN</t>
        </is>
      </c>
      <c r="G113" t="inlineStr">
        <is>
          <t>TANUM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46298</v>
      </c>
      <c r="F114" t="inlineStr">
        <is>
          <t>VÄSTRA GÖTALANDS LÄN</t>
        </is>
      </c>
      <c r="G114" t="inlineStr">
        <is>
          <t>TANUM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46298</v>
      </c>
      <c r="F115" t="inlineStr">
        <is>
          <t>VÄSTRA GÖTALANDS LÄN</t>
        </is>
      </c>
      <c r="G115" t="inlineStr">
        <is>
          <t>TANUM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45506</v>
      </c>
      <c r="E116" s="1" t="n">
        <v>46298</v>
      </c>
      <c r="F116" t="inlineStr">
        <is>
          <t>VÄSTRA GÖTALANDS LÄN</t>
        </is>
      </c>
      <c r="G116" t="inlineStr">
        <is>
          <t>TANUM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45209</v>
      </c>
      <c r="E117" s="1" t="n">
        <v>46298</v>
      </c>
      <c r="F117" t="inlineStr">
        <is>
          <t>VÄSTRA GÖTALANDS LÄN</t>
        </is>
      </c>
      <c r="G117" t="inlineStr">
        <is>
          <t>TANUM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46298</v>
      </c>
      <c r="F118" t="inlineStr">
        <is>
          <t>VÄSTRA GÖTALANDS LÄN</t>
        </is>
      </c>
      <c r="G118" t="inlineStr">
        <is>
          <t>TANUM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64990-2021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44514</v>
      </c>
      <c r="E119" s="1" t="n">
        <v>46298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46298</v>
      </c>
      <c r="F120" t="inlineStr">
        <is>
          <t>VÄSTRA GÖTALANDS LÄN</t>
        </is>
      </c>
      <c r="G120" t="inlineStr">
        <is>
          <t>TANUM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46298</v>
      </c>
      <c r="F121" t="inlineStr">
        <is>
          <t>VÄSTRA GÖTALANDS LÄN</t>
        </is>
      </c>
      <c r="G121" t="inlineStr">
        <is>
          <t>TANUM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46298</v>
      </c>
      <c r="F122" t="inlineStr">
        <is>
          <t>VÄSTRA GÖTALANDS LÄN</t>
        </is>
      </c>
      <c r="G122" t="inlineStr">
        <is>
          <t>TANUM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46298</v>
      </c>
      <c r="F123" t="inlineStr">
        <is>
          <t>VÄSTRA GÖTALANDS LÄN</t>
        </is>
      </c>
      <c r="G123" t="inlineStr">
        <is>
          <t>TANUM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46298</v>
      </c>
      <c r="F124" t="inlineStr">
        <is>
          <t>VÄSTRA GÖTALANDS LÄN</t>
        </is>
      </c>
      <c r="G124" t="inlineStr">
        <is>
          <t>TANUM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46298</v>
      </c>
      <c r="F125" t="inlineStr">
        <is>
          <t>VÄSTRA GÖTALANDS LÄN</t>
        </is>
      </c>
      <c r="G125" t="inlineStr">
        <is>
          <t>TANUM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46298</v>
      </c>
      <c r="F126" t="inlineStr">
        <is>
          <t>VÄSTRA GÖTALANDS LÄN</t>
        </is>
      </c>
      <c r="G126" t="inlineStr">
        <is>
          <t>TANUM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46298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14965-2025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46298</v>
      </c>
      <c r="F128" t="inlineStr">
        <is>
          <t>VÄSTRA GÖTALANDS LÄN</t>
        </is>
      </c>
      <c r="G128" t="inlineStr">
        <is>
          <t>TANUM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40433-2025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45895</v>
      </c>
      <c r="E129" s="1" t="n">
        <v>46298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46298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46298</v>
      </c>
      <c r="F131" t="inlineStr">
        <is>
          <t>VÄSTRA GÖTALANDS LÄN</t>
        </is>
      </c>
      <c r="G131" t="inlineStr">
        <is>
          <t>TANUM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44799</v>
      </c>
      <c r="E132" s="1" t="n">
        <v>46298</v>
      </c>
      <c r="F132" t="inlineStr">
        <is>
          <t>VÄSTRA GÖTALANDS LÄN</t>
        </is>
      </c>
      <c r="G132" t="inlineStr">
        <is>
          <t>TANUM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46298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Kommuner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46298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46298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46298</v>
      </c>
      <c r="F136" t="inlineStr">
        <is>
          <t>VÄSTRA GÖTALANDS LÄN</t>
        </is>
      </c>
      <c r="G136" t="inlineStr">
        <is>
          <t>TANUM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46298</v>
      </c>
      <c r="F137" t="inlineStr">
        <is>
          <t>VÄSTRA GÖTALANDS LÄN</t>
        </is>
      </c>
      <c r="G137" t="inlineStr">
        <is>
          <t>TANUM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46298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46298</v>
      </c>
      <c r="F139" t="inlineStr">
        <is>
          <t>VÄSTRA GÖTALANDS LÄN</t>
        </is>
      </c>
      <c r="G139" t="inlineStr">
        <is>
          <t>TANUM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46298</v>
      </c>
      <c r="F140" t="inlineStr">
        <is>
          <t>VÄSTRA GÖTALANDS LÄN</t>
        </is>
      </c>
      <c r="G140" t="inlineStr">
        <is>
          <t>TANUM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46298</v>
      </c>
      <c r="F141" t="inlineStr">
        <is>
          <t>VÄSTRA GÖTALANDS LÄN</t>
        </is>
      </c>
      <c r="G141" t="inlineStr">
        <is>
          <t>TANUM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46298</v>
      </c>
      <c r="F142" t="inlineStr">
        <is>
          <t>VÄSTRA GÖTALANDS LÄN</t>
        </is>
      </c>
      <c r="G142" t="inlineStr">
        <is>
          <t>TANUM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46298</v>
      </c>
      <c r="F143" t="inlineStr">
        <is>
          <t>VÄSTRA GÖTALANDS LÄN</t>
        </is>
      </c>
      <c r="G143" t="inlineStr">
        <is>
          <t>TANUM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46298</v>
      </c>
      <c r="F144" t="inlineStr">
        <is>
          <t>VÄSTRA GÖTALANDS LÄN</t>
        </is>
      </c>
      <c r="G144" t="inlineStr">
        <is>
          <t>TANUM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46039</v>
      </c>
      <c r="E145" s="1" t="n">
        <v>46298</v>
      </c>
      <c r="F145" t="inlineStr">
        <is>
          <t>VÄSTRA GÖTALANDS LÄN</t>
        </is>
      </c>
      <c r="G145" t="inlineStr">
        <is>
          <t>TANUM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46298</v>
      </c>
      <c r="F146" t="inlineStr">
        <is>
          <t>VÄSTRA GÖTALANDS LÄN</t>
        </is>
      </c>
      <c r="G146" t="inlineStr">
        <is>
          <t>TANUM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46298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46298</v>
      </c>
      <c r="F148" t="inlineStr">
        <is>
          <t>VÄSTRA GÖTALANDS LÄN</t>
        </is>
      </c>
      <c r="G148" t="inlineStr">
        <is>
          <t>TANUM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46298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46298</v>
      </c>
      <c r="F150" t="inlineStr">
        <is>
          <t>VÄSTRA GÖTALANDS LÄN</t>
        </is>
      </c>
      <c r="G150" t="inlineStr">
        <is>
          <t>TANUM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46298</v>
      </c>
      <c r="F151" t="inlineStr">
        <is>
          <t>VÄSTRA GÖTALANDS LÄN</t>
        </is>
      </c>
      <c r="G151" t="inlineStr">
        <is>
          <t>TANUM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46298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46298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46298</v>
      </c>
      <c r="F154" t="inlineStr">
        <is>
          <t>VÄSTRA GÖTALANDS LÄN</t>
        </is>
      </c>
      <c r="G154" t="inlineStr">
        <is>
          <t>TANUM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46298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46298</v>
      </c>
      <c r="F156" t="inlineStr">
        <is>
          <t>VÄSTRA GÖTALANDS LÄN</t>
        </is>
      </c>
      <c r="G156" t="inlineStr">
        <is>
          <t>TANUM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46298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46298</v>
      </c>
      <c r="F158" t="inlineStr">
        <is>
          <t>VÄSTRA GÖTALANDS LÄN</t>
        </is>
      </c>
      <c r="G158" t="inlineStr">
        <is>
          <t>TANUM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46298</v>
      </c>
      <c r="F159" t="inlineStr">
        <is>
          <t>VÄSTRA GÖTALANDS LÄN</t>
        </is>
      </c>
      <c r="G159" t="inlineStr">
        <is>
          <t>TANUM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46298</v>
      </c>
      <c r="F160" t="inlineStr">
        <is>
          <t>VÄSTRA GÖTALANDS LÄN</t>
        </is>
      </c>
      <c r="G160" t="inlineStr">
        <is>
          <t>TANUM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46298</v>
      </c>
      <c r="F161" t="inlineStr">
        <is>
          <t>VÄSTRA GÖTALANDS LÄN</t>
        </is>
      </c>
      <c r="G161" t="inlineStr">
        <is>
          <t>TANUM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46298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46298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46298</v>
      </c>
      <c r="F164" t="inlineStr">
        <is>
          <t>VÄSTRA GÖTALANDS LÄN</t>
        </is>
      </c>
      <c r="G164" t="inlineStr">
        <is>
          <t>TANUM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46298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46298</v>
      </c>
      <c r="F166" t="inlineStr">
        <is>
          <t>VÄSTRA GÖTALANDS LÄN</t>
        </is>
      </c>
      <c r="G166" t="inlineStr">
        <is>
          <t>TANUM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46298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46298</v>
      </c>
      <c r="F168" t="inlineStr">
        <is>
          <t>VÄSTRA GÖTALANDS LÄN</t>
        </is>
      </c>
      <c r="G168" t="inlineStr">
        <is>
          <t>TANUM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46298</v>
      </c>
      <c r="F169" t="inlineStr">
        <is>
          <t>VÄSTRA GÖTALANDS LÄN</t>
        </is>
      </c>
      <c r="G169" t="inlineStr">
        <is>
          <t>TANUM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45515</v>
      </c>
      <c r="E170" s="1" t="n">
        <v>46298</v>
      </c>
      <c r="F170" t="inlineStr">
        <is>
          <t>VÄSTRA GÖTALANDS LÄN</t>
        </is>
      </c>
      <c r="G170" t="inlineStr">
        <is>
          <t>TANUM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46298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46298</v>
      </c>
      <c r="F172" t="inlineStr">
        <is>
          <t>VÄSTRA GÖTALANDS LÄN</t>
        </is>
      </c>
      <c r="G172" t="inlineStr">
        <is>
          <t>TANUM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46298</v>
      </c>
      <c r="F173" t="inlineStr">
        <is>
          <t>VÄSTRA GÖTALANDS LÄN</t>
        </is>
      </c>
      <c r="G173" t="inlineStr">
        <is>
          <t>TANUM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46298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46298</v>
      </c>
      <c r="F175" t="inlineStr">
        <is>
          <t>VÄSTRA GÖTALANDS LÄN</t>
        </is>
      </c>
      <c r="G175" t="inlineStr">
        <is>
          <t>TANUM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46298</v>
      </c>
      <c r="F176" t="inlineStr">
        <is>
          <t>VÄSTRA GÖTALANDS LÄN</t>
        </is>
      </c>
      <c r="G176" t="inlineStr">
        <is>
          <t>TANUM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44872</v>
      </c>
      <c r="E177" s="1" t="n">
        <v>46298</v>
      </c>
      <c r="F177" t="inlineStr">
        <is>
          <t>VÄSTRA GÖTALANDS LÄN</t>
        </is>
      </c>
      <c r="G177" t="inlineStr">
        <is>
          <t>TANUM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46298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46298</v>
      </c>
      <c r="F179" t="inlineStr">
        <is>
          <t>VÄSTRA GÖTALANDS LÄN</t>
        </is>
      </c>
      <c r="G179" t="inlineStr">
        <is>
          <t>TANUM</t>
        </is>
      </c>
      <c r="H179" t="inlineStr">
        <is>
          <t>Kyrkan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45927</v>
      </c>
      <c r="E180" s="1" t="n">
        <v>46298</v>
      </c>
      <c r="F180" t="inlineStr">
        <is>
          <t>VÄSTRA GÖTALANDS LÄN</t>
        </is>
      </c>
      <c r="G180" t="inlineStr">
        <is>
          <t>TANUM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46298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Kyrkan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46298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46298</v>
      </c>
      <c r="F183" t="inlineStr">
        <is>
          <t>VÄSTRA GÖTALANDS LÄN</t>
        </is>
      </c>
      <c r="G183" t="inlineStr">
        <is>
          <t>TANUM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46298</v>
      </c>
      <c r="F184" t="inlineStr">
        <is>
          <t>VÄSTRA GÖTALANDS LÄN</t>
        </is>
      </c>
      <c r="G184" t="inlineStr">
        <is>
          <t>TANUM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46298</v>
      </c>
      <c r="F185" t="inlineStr">
        <is>
          <t>VÄSTRA GÖTALANDS LÄN</t>
        </is>
      </c>
      <c r="G185" t="inlineStr">
        <is>
          <t>TANUM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46298</v>
      </c>
      <c r="F186" t="inlineStr">
        <is>
          <t>VÄSTRA GÖTALANDS LÄN</t>
        </is>
      </c>
      <c r="G186" t="inlineStr">
        <is>
          <t>TANUM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46298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46298</v>
      </c>
      <c r="F188" t="inlineStr">
        <is>
          <t>VÄSTRA GÖTALANDS LÄN</t>
        </is>
      </c>
      <c r="G188" t="inlineStr">
        <is>
          <t>TANUM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45516</v>
      </c>
      <c r="E189" s="1" t="n">
        <v>46298</v>
      </c>
      <c r="F189" t="inlineStr">
        <is>
          <t>VÄSTRA GÖTALANDS LÄN</t>
        </is>
      </c>
      <c r="G189" t="inlineStr">
        <is>
          <t>TANUM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46298</v>
      </c>
      <c r="F190" t="inlineStr">
        <is>
          <t>VÄSTRA GÖTALANDS LÄN</t>
        </is>
      </c>
      <c r="G190" t="inlineStr">
        <is>
          <t>TANUM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46298</v>
      </c>
      <c r="F191" t="inlineStr">
        <is>
          <t>VÄSTRA GÖTALANDS LÄN</t>
        </is>
      </c>
      <c r="G191" t="inlineStr">
        <is>
          <t>TANUM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46298</v>
      </c>
      <c r="F192" t="inlineStr">
        <is>
          <t>VÄSTRA GÖTALANDS LÄN</t>
        </is>
      </c>
      <c r="G192" t="inlineStr">
        <is>
          <t>TANUM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46298</v>
      </c>
      <c r="F193" t="inlineStr">
        <is>
          <t>VÄSTRA GÖTALANDS LÄN</t>
        </is>
      </c>
      <c r="G193" t="inlineStr">
        <is>
          <t>TANUM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45935</v>
      </c>
      <c r="E194" s="1" t="n">
        <v>46298</v>
      </c>
      <c r="F194" t="inlineStr">
        <is>
          <t>VÄSTRA GÖTALANDS LÄN</t>
        </is>
      </c>
      <c r="G194" t="inlineStr">
        <is>
          <t>TANUM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46298</v>
      </c>
      <c r="F195" t="inlineStr">
        <is>
          <t>VÄSTRA GÖTALANDS LÄN</t>
        </is>
      </c>
      <c r="G195" t="inlineStr">
        <is>
          <t>TANUM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73810-2021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46298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46298</v>
      </c>
      <c r="F197" t="inlineStr">
        <is>
          <t>VÄSTRA GÖTALANDS LÄN</t>
        </is>
      </c>
      <c r="G197" t="inlineStr">
        <is>
          <t>TANUM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46298</v>
      </c>
      <c r="F198" t="inlineStr">
        <is>
          <t>VÄSTRA GÖTALANDS LÄN</t>
        </is>
      </c>
      <c r="G198" t="inlineStr">
        <is>
          <t>TANUM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44867</v>
      </c>
      <c r="E199" s="1" t="n">
        <v>46298</v>
      </c>
      <c r="F199" t="inlineStr">
        <is>
          <t>VÄSTRA GÖTALANDS LÄN</t>
        </is>
      </c>
      <c r="G199" t="inlineStr">
        <is>
          <t>TANUM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46298</v>
      </c>
      <c r="F200" t="inlineStr">
        <is>
          <t>VÄSTRA GÖTALANDS LÄN</t>
        </is>
      </c>
      <c r="G200" t="inlineStr">
        <is>
          <t>TANUM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45942</v>
      </c>
      <c r="E201" s="1" t="n">
        <v>46298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46298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46298</v>
      </c>
      <c r="F203" t="inlineStr">
        <is>
          <t>VÄSTRA GÖTALANDS LÄN</t>
        </is>
      </c>
      <c r="G203" t="inlineStr">
        <is>
          <t>TANUM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46298</v>
      </c>
      <c r="F204" t="inlineStr">
        <is>
          <t>VÄSTRA GÖTALANDS LÄN</t>
        </is>
      </c>
      <c r="G204" t="inlineStr">
        <is>
          <t>TANUM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46298</v>
      </c>
      <c r="F205" t="inlineStr">
        <is>
          <t>VÄSTRA GÖTALANDS LÄN</t>
        </is>
      </c>
      <c r="G205" t="inlineStr">
        <is>
          <t>TANUM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46298</v>
      </c>
      <c r="F206" t="inlineStr">
        <is>
          <t>VÄSTRA GÖTALANDS LÄN</t>
        </is>
      </c>
      <c r="G206" t="inlineStr">
        <is>
          <t>TANUM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46298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46298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45324</v>
      </c>
      <c r="E209" s="1" t="n">
        <v>46298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45753</v>
      </c>
      <c r="E210" s="1" t="n">
        <v>46298</v>
      </c>
      <c r="F210" t="inlineStr">
        <is>
          <t>VÄSTRA GÖTALANDS LÄN</t>
        </is>
      </c>
      <c r="G210" t="inlineStr">
        <is>
          <t>TANUM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46298</v>
      </c>
      <c r="F211" t="inlineStr">
        <is>
          <t>VÄSTRA GÖTALANDS LÄN</t>
        </is>
      </c>
      <c r="G211" t="inlineStr">
        <is>
          <t>TANUM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46298</v>
      </c>
      <c r="F212" t="inlineStr">
        <is>
          <t>VÄSTRA GÖTALANDS LÄN</t>
        </is>
      </c>
      <c r="G212" t="inlineStr">
        <is>
          <t>TANUM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45949</v>
      </c>
      <c r="E213" s="1" t="n">
        <v>46298</v>
      </c>
      <c r="F213" t="inlineStr">
        <is>
          <t>VÄSTRA GÖTALANDS LÄN</t>
        </is>
      </c>
      <c r="G213" t="inlineStr">
        <is>
          <t>TANUM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46298</v>
      </c>
      <c r="F214" t="inlineStr">
        <is>
          <t>VÄSTRA GÖTALANDS LÄN</t>
        </is>
      </c>
      <c r="G214" t="inlineStr">
        <is>
          <t>TANUM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46298</v>
      </c>
      <c r="F215" t="inlineStr">
        <is>
          <t>VÄSTRA GÖTALANDS LÄN</t>
        </is>
      </c>
      <c r="G215" t="inlineStr">
        <is>
          <t>TANUM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46298</v>
      </c>
      <c r="F216" t="inlineStr">
        <is>
          <t>VÄSTRA GÖTALANDS LÄN</t>
        </is>
      </c>
      <c r="G216" t="inlineStr">
        <is>
          <t>TANUM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46298</v>
      </c>
      <c r="F217" t="inlineStr">
        <is>
          <t>VÄSTRA GÖTALANDS LÄN</t>
        </is>
      </c>
      <c r="G217" t="inlineStr">
        <is>
          <t>TANUM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46298</v>
      </c>
      <c r="F218" t="inlineStr">
        <is>
          <t>VÄSTRA GÖTALANDS LÄN</t>
        </is>
      </c>
      <c r="G218" t="inlineStr">
        <is>
          <t>TANUM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46298</v>
      </c>
      <c r="F219" t="inlineStr">
        <is>
          <t>VÄSTRA GÖTALANDS LÄN</t>
        </is>
      </c>
      <c r="G219" t="inlineStr">
        <is>
          <t>TANUM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46298</v>
      </c>
      <c r="F220" t="inlineStr">
        <is>
          <t>VÄSTRA GÖTALANDS LÄN</t>
        </is>
      </c>
      <c r="G220" t="inlineStr">
        <is>
          <t>TANUM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11809-2026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46085</v>
      </c>
      <c r="E221" s="1" t="n">
        <v>46298</v>
      </c>
      <c r="F221" t="inlineStr">
        <is>
          <t>VÄSTRA GÖTALANDS LÄN</t>
        </is>
      </c>
      <c r="G221" t="inlineStr">
        <is>
          <t>TANUM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46298</v>
      </c>
      <c r="F222" t="inlineStr">
        <is>
          <t>VÄSTRA GÖTALANDS LÄN</t>
        </is>
      </c>
      <c r="G222" t="inlineStr">
        <is>
          <t>TANUM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46298</v>
      </c>
      <c r="F223" t="inlineStr">
        <is>
          <t>VÄSTRA GÖTALANDS LÄN</t>
        </is>
      </c>
      <c r="G223" t="inlineStr">
        <is>
          <t>TANUM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46298</v>
      </c>
      <c r="F224" t="inlineStr">
        <is>
          <t>VÄSTRA GÖTALANDS LÄN</t>
        </is>
      </c>
      <c r="G224" t="inlineStr">
        <is>
          <t>TANUM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44579</v>
      </c>
      <c r="E225" s="1" t="n">
        <v>46298</v>
      </c>
      <c r="F225" t="inlineStr">
        <is>
          <t>VÄSTRA GÖTALANDS LÄN</t>
        </is>
      </c>
      <c r="G225" t="inlineStr">
        <is>
          <t>TANUM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46298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44939</v>
      </c>
      <c r="E227" s="1" t="n">
        <v>46298</v>
      </c>
      <c r="F227" t="inlineStr">
        <is>
          <t>VÄSTRA GÖTALANDS LÄN</t>
        </is>
      </c>
      <c r="G227" t="inlineStr">
        <is>
          <t>TANUM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46298</v>
      </c>
      <c r="F228" t="inlineStr">
        <is>
          <t>VÄSTRA GÖTALANDS LÄN</t>
        </is>
      </c>
      <c r="G228" t="inlineStr">
        <is>
          <t>TANUM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46298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46298</v>
      </c>
      <c r="F230" t="inlineStr">
        <is>
          <t>VÄSTRA GÖTALANDS LÄN</t>
        </is>
      </c>
      <c r="G230" t="inlineStr">
        <is>
          <t>TANUM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46298</v>
      </c>
      <c r="F231" t="inlineStr">
        <is>
          <t>VÄSTRA GÖTALANDS LÄN</t>
        </is>
      </c>
      <c r="G231" t="inlineStr">
        <is>
          <t>TANUM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45271</v>
      </c>
      <c r="E232" s="1" t="n">
        <v>46298</v>
      </c>
      <c r="F232" t="inlineStr">
        <is>
          <t>VÄSTRA GÖTALANDS LÄN</t>
        </is>
      </c>
      <c r="G232" t="inlineStr">
        <is>
          <t>TANUM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46298</v>
      </c>
      <c r="F233" t="inlineStr">
        <is>
          <t>VÄSTRA GÖTALANDS LÄN</t>
        </is>
      </c>
      <c r="G233" t="inlineStr">
        <is>
          <t>TANUM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46298</v>
      </c>
      <c r="F234" t="inlineStr">
        <is>
          <t>VÄSTRA GÖTALANDS LÄN</t>
        </is>
      </c>
      <c r="G234" t="inlineStr">
        <is>
          <t>TANUM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46298</v>
      </c>
      <c r="F235" t="inlineStr">
        <is>
          <t>VÄSTRA GÖTALANDS LÄN</t>
        </is>
      </c>
      <c r="G235" t="inlineStr">
        <is>
          <t>TANUM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46298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Sveaskog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46298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Kyrkan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46298</v>
      </c>
      <c r="F238" t="inlineStr">
        <is>
          <t>VÄSTRA GÖTALANDS LÄN</t>
        </is>
      </c>
      <c r="G238" t="inlineStr">
        <is>
          <t>TANUM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46298</v>
      </c>
      <c r="F239" t="inlineStr">
        <is>
          <t>VÄSTRA GÖTALANDS LÄN</t>
        </is>
      </c>
      <c r="G239" t="inlineStr">
        <is>
          <t>TANUM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46298</v>
      </c>
      <c r="F240" t="inlineStr">
        <is>
          <t>VÄSTRA GÖTALANDS LÄN</t>
        </is>
      </c>
      <c r="G240" t="inlineStr">
        <is>
          <t>TANUM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46298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46298</v>
      </c>
      <c r="F242" t="inlineStr">
        <is>
          <t>VÄSTRA GÖTALANDS LÄN</t>
        </is>
      </c>
      <c r="G242" t="inlineStr">
        <is>
          <t>TANUM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46298</v>
      </c>
      <c r="F243" t="inlineStr">
        <is>
          <t>VÄSTRA GÖTALANDS LÄN</t>
        </is>
      </c>
      <c r="G243" t="inlineStr">
        <is>
          <t>TANUM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46298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45552</v>
      </c>
      <c r="E245" s="1" t="n">
        <v>46298</v>
      </c>
      <c r="F245" t="inlineStr">
        <is>
          <t>VÄSTRA GÖTALANDS LÄN</t>
        </is>
      </c>
      <c r="G245" t="inlineStr">
        <is>
          <t>TANUM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46298</v>
      </c>
      <c r="F246" t="inlineStr">
        <is>
          <t>VÄSTRA GÖTALANDS LÄN</t>
        </is>
      </c>
      <c r="G246" t="inlineStr">
        <is>
          <t>TANUM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46298</v>
      </c>
      <c r="F247" t="inlineStr">
        <is>
          <t>VÄSTRA GÖTALANDS LÄN</t>
        </is>
      </c>
      <c r="G247" t="inlineStr">
        <is>
          <t>TANUM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46298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58809-2025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45987</v>
      </c>
      <c r="E249" s="1" t="n">
        <v>46298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46298</v>
      </c>
      <c r="F250" t="inlineStr">
        <is>
          <t>VÄSTRA GÖTALANDS LÄN</t>
        </is>
      </c>
      <c r="G250" t="inlineStr">
        <is>
          <t>TANUM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45490</v>
      </c>
      <c r="E251" s="1" t="n">
        <v>46298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44839</v>
      </c>
      <c r="E252" s="1" t="n">
        <v>46298</v>
      </c>
      <c r="F252" t="inlineStr">
        <is>
          <t>VÄSTRA GÖTALANDS LÄN</t>
        </is>
      </c>
      <c r="G252" t="inlineStr">
        <is>
          <t>TANUM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46298</v>
      </c>
      <c r="F253" t="inlineStr">
        <is>
          <t>VÄSTRA GÖTALANDS LÄN</t>
        </is>
      </c>
      <c r="G253" t="inlineStr">
        <is>
          <t>TANUM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46298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46298</v>
      </c>
      <c r="F255" t="inlineStr">
        <is>
          <t>VÄSTRA GÖTALANDS LÄN</t>
        </is>
      </c>
      <c r="G255" t="inlineStr">
        <is>
          <t>TANUM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46298</v>
      </c>
      <c r="F256" t="inlineStr">
        <is>
          <t>VÄSTRA GÖTALANDS LÄN</t>
        </is>
      </c>
      <c r="G256" t="inlineStr">
        <is>
          <t>TANUM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46298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46298</v>
      </c>
      <c r="F258" t="inlineStr">
        <is>
          <t>VÄSTRA GÖTALANDS LÄN</t>
        </is>
      </c>
      <c r="G258" t="inlineStr">
        <is>
          <t>TANUM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46298</v>
      </c>
      <c r="F259" t="inlineStr">
        <is>
          <t>VÄSTRA GÖTALANDS LÄN</t>
        </is>
      </c>
      <c r="G259" t="inlineStr">
        <is>
          <t>TANUM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45673</v>
      </c>
      <c r="E260" s="1" t="n">
        <v>46298</v>
      </c>
      <c r="F260" t="inlineStr">
        <is>
          <t>VÄSTRA GÖTALANDS LÄN</t>
        </is>
      </c>
      <c r="G260" t="inlineStr">
        <is>
          <t>TANUM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46298</v>
      </c>
      <c r="F261" t="inlineStr">
        <is>
          <t>VÄSTRA GÖTALANDS LÄN</t>
        </is>
      </c>
      <c r="G261" t="inlineStr">
        <is>
          <t>TANUM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46298</v>
      </c>
      <c r="F262" t="inlineStr">
        <is>
          <t>VÄSTRA GÖTALANDS LÄN</t>
        </is>
      </c>
      <c r="G262" t="inlineStr">
        <is>
          <t>TANUM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46298</v>
      </c>
      <c r="F263" t="inlineStr">
        <is>
          <t>VÄSTRA GÖTALANDS LÄN</t>
        </is>
      </c>
      <c r="G263" t="inlineStr">
        <is>
          <t>TANUM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46298</v>
      </c>
      <c r="F264" t="inlineStr">
        <is>
          <t>VÄSTRA GÖTALANDS LÄN</t>
        </is>
      </c>
      <c r="G264" t="inlineStr">
        <is>
          <t>TANUM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46298</v>
      </c>
      <c r="F265" t="inlineStr">
        <is>
          <t>VÄSTRA GÖTALANDS LÄN</t>
        </is>
      </c>
      <c r="G265" t="inlineStr">
        <is>
          <t>TANUM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46298</v>
      </c>
      <c r="F266" t="inlineStr">
        <is>
          <t>VÄSTRA GÖTALANDS LÄN</t>
        </is>
      </c>
      <c r="G266" t="inlineStr">
        <is>
          <t>TANUM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46298</v>
      </c>
      <c r="F267" t="inlineStr">
        <is>
          <t>VÄSTRA GÖTALANDS LÄN</t>
        </is>
      </c>
      <c r="G267" t="inlineStr">
        <is>
          <t>TANUM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46298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46298</v>
      </c>
      <c r="F269" t="inlineStr">
        <is>
          <t>VÄSTRA GÖTALANDS LÄN</t>
        </is>
      </c>
      <c r="G269" t="inlineStr">
        <is>
          <t>TANUM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44585</v>
      </c>
      <c r="E270" s="1" t="n">
        <v>46298</v>
      </c>
      <c r="F270" t="inlineStr">
        <is>
          <t>VÄSTRA GÖTALANDS LÄN</t>
        </is>
      </c>
      <c r="G270" t="inlineStr">
        <is>
          <t>TANUM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46298</v>
      </c>
      <c r="F271" t="inlineStr">
        <is>
          <t>VÄSTRA GÖTALANDS LÄN</t>
        </is>
      </c>
      <c r="G271" t="inlineStr">
        <is>
          <t>TANUM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46298</v>
      </c>
      <c r="F272" t="inlineStr">
        <is>
          <t>VÄSTRA GÖTALANDS LÄN</t>
        </is>
      </c>
      <c r="G272" t="inlineStr">
        <is>
          <t>TANUM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33869-2025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46298</v>
      </c>
      <c r="F273" t="inlineStr">
        <is>
          <t>VÄSTRA GÖTALANDS LÄN</t>
        </is>
      </c>
      <c r="G273" t="inlineStr">
        <is>
          <t>TANUM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46298</v>
      </c>
      <c r="F274" t="inlineStr">
        <is>
          <t>VÄSTRA GÖTALANDS LÄN</t>
        </is>
      </c>
      <c r="G274" t="inlineStr">
        <is>
          <t>TANUM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46298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Naturvårdsverket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46298</v>
      </c>
      <c r="F276" t="inlineStr">
        <is>
          <t>VÄSTRA GÖTALANDS LÄN</t>
        </is>
      </c>
      <c r="G276" t="inlineStr">
        <is>
          <t>TANUM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46298</v>
      </c>
      <c r="F277" t="inlineStr">
        <is>
          <t>VÄSTRA GÖTALANDS LÄN</t>
        </is>
      </c>
      <c r="G277" t="inlineStr">
        <is>
          <t>TANUM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63326-2021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44506</v>
      </c>
      <c r="E278" s="1" t="n">
        <v>46298</v>
      </c>
      <c r="F278" t="inlineStr">
        <is>
          <t>VÄSTRA GÖTALANDS LÄN</t>
        </is>
      </c>
      <c r="G278" t="inlineStr">
        <is>
          <t>TANUM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45286</v>
      </c>
      <c r="E279" s="1" t="n">
        <v>46298</v>
      </c>
      <c r="F279" t="inlineStr">
        <is>
          <t>VÄSTRA GÖTALANDS LÄN</t>
        </is>
      </c>
      <c r="G279" t="inlineStr">
        <is>
          <t>TANUM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46298</v>
      </c>
      <c r="F280" t="inlineStr">
        <is>
          <t>VÄSTRA GÖTALANDS LÄN</t>
        </is>
      </c>
      <c r="G280" t="inlineStr">
        <is>
          <t>TANUM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45522</v>
      </c>
      <c r="E281" s="1" t="n">
        <v>46298</v>
      </c>
      <c r="F281" t="inlineStr">
        <is>
          <t>VÄSTRA GÖTALANDS LÄN</t>
        </is>
      </c>
      <c r="G281" t="inlineStr">
        <is>
          <t>TANUM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46298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46298</v>
      </c>
      <c r="F283" t="inlineStr">
        <is>
          <t>VÄSTRA GÖTALANDS LÄN</t>
        </is>
      </c>
      <c r="G283" t="inlineStr">
        <is>
          <t>TANUM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46298</v>
      </c>
      <c r="F284" t="inlineStr">
        <is>
          <t>VÄSTRA GÖTALANDS LÄN</t>
        </is>
      </c>
      <c r="G284" t="inlineStr">
        <is>
          <t>TANUM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46298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45755</v>
      </c>
      <c r="E286" s="1" t="n">
        <v>46298</v>
      </c>
      <c r="F286" t="inlineStr">
        <is>
          <t>VÄSTRA GÖTALANDS LÄN</t>
        </is>
      </c>
      <c r="G286" t="inlineStr">
        <is>
          <t>TANUM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46298</v>
      </c>
      <c r="F287" t="inlineStr">
        <is>
          <t>VÄSTRA GÖTALANDS LÄN</t>
        </is>
      </c>
      <c r="G287" t="inlineStr">
        <is>
          <t>TANUM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46298</v>
      </c>
      <c r="F288" t="inlineStr">
        <is>
          <t>VÄSTRA GÖTALANDS LÄN</t>
        </is>
      </c>
      <c r="G288" t="inlineStr">
        <is>
          <t>TANUM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46298</v>
      </c>
      <c r="F289" t="inlineStr">
        <is>
          <t>VÄSTRA GÖTALANDS LÄN</t>
        </is>
      </c>
      <c r="G289" t="inlineStr">
        <is>
          <t>TANUM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46298</v>
      </c>
      <c r="F290" t="inlineStr">
        <is>
          <t>VÄSTRA GÖTALANDS LÄN</t>
        </is>
      </c>
      <c r="G290" t="inlineStr">
        <is>
          <t>TANUM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66945-2021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44522</v>
      </c>
      <c r="E291" s="1" t="n">
        <v>46298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45872</v>
      </c>
      <c r="E292" s="1" t="n">
        <v>46298</v>
      </c>
      <c r="F292" t="inlineStr">
        <is>
          <t>VÄSTRA GÖTALANDS LÄN</t>
        </is>
      </c>
      <c r="G292" t="inlineStr">
        <is>
          <t>TANUM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45184</v>
      </c>
      <c r="E293" s="1" t="n">
        <v>46298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45026</v>
      </c>
      <c r="E294" s="1" t="n">
        <v>46298</v>
      </c>
      <c r="F294" t="inlineStr">
        <is>
          <t>VÄSTRA GÖTALANDS LÄN</t>
        </is>
      </c>
      <c r="G294" t="inlineStr">
        <is>
          <t>TANUM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46298</v>
      </c>
      <c r="F295" t="inlineStr">
        <is>
          <t>VÄSTRA GÖTALANDS LÄN</t>
        </is>
      </c>
      <c r="G295" t="inlineStr">
        <is>
          <t>TANUM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45872</v>
      </c>
      <c r="E296" s="1" t="n">
        <v>46298</v>
      </c>
      <c r="F296" t="inlineStr">
        <is>
          <t>VÄSTRA GÖTALANDS LÄN</t>
        </is>
      </c>
      <c r="G296" t="inlineStr">
        <is>
          <t>TANUM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46298</v>
      </c>
      <c r="F297" t="inlineStr">
        <is>
          <t>VÄSTRA GÖTALANDS LÄN</t>
        </is>
      </c>
      <c r="G297" t="inlineStr">
        <is>
          <t>TANUM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46298</v>
      </c>
      <c r="F298" t="inlineStr">
        <is>
          <t>VÄSTRA GÖTALANDS LÄN</t>
        </is>
      </c>
      <c r="G298" t="inlineStr">
        <is>
          <t>TANUM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46298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46298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46298</v>
      </c>
      <c r="F301" t="inlineStr">
        <is>
          <t>VÄSTRA GÖTALANDS LÄN</t>
        </is>
      </c>
      <c r="G301" t="inlineStr">
        <is>
          <t>TANUM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46241-2023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45196</v>
      </c>
      <c r="E302" s="1" t="n">
        <v>46298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45739</v>
      </c>
      <c r="E303" s="1" t="n">
        <v>46298</v>
      </c>
      <c r="F303" t="inlineStr">
        <is>
          <t>VÄSTRA GÖTALANDS LÄN</t>
        </is>
      </c>
      <c r="G303" t="inlineStr">
        <is>
          <t>TANUM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46298</v>
      </c>
      <c r="F304" t="inlineStr">
        <is>
          <t>VÄSTRA GÖTALANDS LÄN</t>
        </is>
      </c>
      <c r="G304" t="inlineStr">
        <is>
          <t>TANUM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46298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46298</v>
      </c>
      <c r="F306" t="inlineStr">
        <is>
          <t>VÄSTRA GÖTALANDS LÄN</t>
        </is>
      </c>
      <c r="G306" t="inlineStr">
        <is>
          <t>TANUM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46298</v>
      </c>
      <c r="F307" t="inlineStr">
        <is>
          <t>VÄSTRA GÖTALANDS LÄN</t>
        </is>
      </c>
      <c r="G307" t="inlineStr">
        <is>
          <t>TANUM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46298</v>
      </c>
      <c r="F308" t="inlineStr">
        <is>
          <t>VÄSTRA GÖTALANDS LÄN</t>
        </is>
      </c>
      <c r="G308" t="inlineStr">
        <is>
          <t>TANUM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46298</v>
      </c>
      <c r="F309" t="inlineStr">
        <is>
          <t>VÄSTRA GÖTALANDS LÄN</t>
        </is>
      </c>
      <c r="G309" t="inlineStr">
        <is>
          <t>TANUM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46298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46298</v>
      </c>
      <c r="F311" t="inlineStr">
        <is>
          <t>VÄSTRA GÖTALANDS LÄN</t>
        </is>
      </c>
      <c r="G311" t="inlineStr">
        <is>
          <t>TANUM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45698</v>
      </c>
      <c r="E312" s="1" t="n">
        <v>46298</v>
      </c>
      <c r="F312" t="inlineStr">
        <is>
          <t>VÄSTRA GÖTALANDS LÄN</t>
        </is>
      </c>
      <c r="G312" t="inlineStr">
        <is>
          <t>TANUM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46298</v>
      </c>
      <c r="F313" t="inlineStr">
        <is>
          <t>VÄSTRA GÖTALANDS LÄN</t>
        </is>
      </c>
      <c r="G313" t="inlineStr">
        <is>
          <t>TANUM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46298</v>
      </c>
      <c r="F314" t="inlineStr">
        <is>
          <t>VÄSTRA GÖTALANDS LÄN</t>
        </is>
      </c>
      <c r="G314" t="inlineStr">
        <is>
          <t>TANUM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45709</v>
      </c>
      <c r="E315" s="1" t="n">
        <v>46298</v>
      </c>
      <c r="F315" t="inlineStr">
        <is>
          <t>VÄSTRA GÖTALANDS LÄN</t>
        </is>
      </c>
      <c r="G315" t="inlineStr">
        <is>
          <t>TANUM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46298</v>
      </c>
      <c r="F316" t="inlineStr">
        <is>
          <t>VÄSTRA GÖTALANDS LÄN</t>
        </is>
      </c>
      <c r="G316" t="inlineStr">
        <is>
          <t>TANUM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46298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44807</v>
      </c>
      <c r="E318" s="1" t="n">
        <v>46298</v>
      </c>
      <c r="F318" t="inlineStr">
        <is>
          <t>VÄSTRA GÖTALANDS LÄN</t>
        </is>
      </c>
      <c r="G318" t="inlineStr">
        <is>
          <t>TANUM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46298</v>
      </c>
      <c r="F319" t="inlineStr">
        <is>
          <t>VÄSTRA GÖTALANDS LÄN</t>
        </is>
      </c>
      <c r="G319" t="inlineStr">
        <is>
          <t>TANUM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44944</v>
      </c>
      <c r="E320" s="1" t="n">
        <v>46298</v>
      </c>
      <c r="F320" t="inlineStr">
        <is>
          <t>VÄSTRA GÖTALANDS LÄN</t>
        </is>
      </c>
      <c r="G320" t="inlineStr">
        <is>
          <t>TANUM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46298</v>
      </c>
      <c r="F321" t="inlineStr">
        <is>
          <t>VÄSTRA GÖTALANDS LÄN</t>
        </is>
      </c>
      <c r="G321" t="inlineStr">
        <is>
          <t>TANUM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46298</v>
      </c>
      <c r="F322" t="inlineStr">
        <is>
          <t>VÄSTRA GÖTALANDS LÄN</t>
        </is>
      </c>
      <c r="G322" t="inlineStr">
        <is>
          <t>TANUM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46298</v>
      </c>
      <c r="F323" t="inlineStr">
        <is>
          <t>VÄSTRA GÖTALANDS LÄN</t>
        </is>
      </c>
      <c r="G323" t="inlineStr">
        <is>
          <t>TANUM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46298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46298</v>
      </c>
      <c r="F325" t="inlineStr">
        <is>
          <t>VÄSTRA GÖTALANDS LÄN</t>
        </is>
      </c>
      <c r="G325" t="inlineStr">
        <is>
          <t>TANUM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46298</v>
      </c>
      <c r="F326" t="inlineStr">
        <is>
          <t>VÄSTRA GÖTALANDS LÄN</t>
        </is>
      </c>
      <c r="G326" t="inlineStr">
        <is>
          <t>TANUM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30322-2026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46207</v>
      </c>
      <c r="E327" s="1" t="n">
        <v>46298</v>
      </c>
      <c r="F327" t="inlineStr">
        <is>
          <t>VÄSTRA GÖTALANDS LÄN</t>
        </is>
      </c>
      <c r="G327" t="inlineStr">
        <is>
          <t>TANUM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46298</v>
      </c>
      <c r="F328" t="inlineStr">
        <is>
          <t>VÄSTRA GÖTALANDS LÄN</t>
        </is>
      </c>
      <c r="G328" t="inlineStr">
        <is>
          <t>TANUM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46298</v>
      </c>
      <c r="F329" t="inlineStr">
        <is>
          <t>VÄSTRA GÖTALANDS LÄN</t>
        </is>
      </c>
      <c r="G329" t="inlineStr">
        <is>
          <t>TANUM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46298</v>
      </c>
      <c r="F330" t="inlineStr">
        <is>
          <t>VÄSTRA GÖTALANDS LÄN</t>
        </is>
      </c>
      <c r="G330" t="inlineStr">
        <is>
          <t>TANUM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46298</v>
      </c>
      <c r="F331" t="inlineStr">
        <is>
          <t>VÄSTRA GÖTALANDS LÄN</t>
        </is>
      </c>
      <c r="G331" t="inlineStr">
        <is>
          <t>TANUM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46298</v>
      </c>
      <c r="F332" t="inlineStr">
        <is>
          <t>VÄSTRA GÖTALANDS LÄN</t>
        </is>
      </c>
      <c r="G332" t="inlineStr">
        <is>
          <t>TANUM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46298</v>
      </c>
      <c r="F333" t="inlineStr">
        <is>
          <t>VÄSTRA GÖTALANDS LÄN</t>
        </is>
      </c>
      <c r="G333" t="inlineStr">
        <is>
          <t>TANUM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46298</v>
      </c>
      <c r="F334" t="inlineStr">
        <is>
          <t>VÄSTRA GÖTALANDS LÄN</t>
        </is>
      </c>
      <c r="G334" t="inlineStr">
        <is>
          <t>TANUM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70979-2021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46298</v>
      </c>
      <c r="F335" t="inlineStr">
        <is>
          <t>VÄSTRA GÖTALANDS LÄN</t>
        </is>
      </c>
      <c r="G335" t="inlineStr">
        <is>
          <t>TANUM</t>
        </is>
      </c>
      <c r="I335" t="n">
        <v>19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46298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46298</v>
      </c>
      <c r="F337" t="inlineStr">
        <is>
          <t>VÄSTRA GÖTALANDS LÄN</t>
        </is>
      </c>
      <c r="G337" t="inlineStr">
        <is>
          <t>TANUM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46298</v>
      </c>
      <c r="F338" t="inlineStr">
        <is>
          <t>VÄSTRA GÖTALANDS LÄN</t>
        </is>
      </c>
      <c r="G338" t="inlineStr">
        <is>
          <t>TANUM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46298</v>
      </c>
      <c r="F339" t="inlineStr">
        <is>
          <t>VÄSTRA GÖTALANDS LÄN</t>
        </is>
      </c>
      <c r="G339" t="inlineStr">
        <is>
          <t>TANUM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46298</v>
      </c>
      <c r="F340" t="inlineStr">
        <is>
          <t>VÄSTRA GÖTALANDS LÄN</t>
        </is>
      </c>
      <c r="G340" t="inlineStr">
        <is>
          <t>TANUM</t>
        </is>
      </c>
      <c r="I340" t="n">
        <v>11.6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46298</v>
      </c>
      <c r="F341" t="inlineStr">
        <is>
          <t>VÄSTRA GÖTALANDS LÄN</t>
        </is>
      </c>
      <c r="G341" t="inlineStr">
        <is>
          <t>TANUM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46298</v>
      </c>
      <c r="F342" t="inlineStr">
        <is>
          <t>VÄSTRA GÖTALANDS LÄN</t>
        </is>
      </c>
      <c r="G342" t="inlineStr">
        <is>
          <t>TANUM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46298</v>
      </c>
      <c r="F343" t="inlineStr">
        <is>
          <t>VÄSTRA GÖTALANDS LÄN</t>
        </is>
      </c>
      <c r="G343" t="inlineStr">
        <is>
          <t>TANUM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64529-2023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45281</v>
      </c>
      <c r="E344" s="1" t="n">
        <v>46298</v>
      </c>
      <c r="F344" t="inlineStr">
        <is>
          <t>VÄSTRA GÖTALANDS LÄN</t>
        </is>
      </c>
      <c r="G344" t="inlineStr">
        <is>
          <t>TANUM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46298</v>
      </c>
      <c r="F345" t="inlineStr">
        <is>
          <t>VÄSTRA GÖTALANDS LÄN</t>
        </is>
      </c>
      <c r="G345" t="inlineStr">
        <is>
          <t>TANUM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46298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46298</v>
      </c>
      <c r="F347" t="inlineStr">
        <is>
          <t>VÄSTRA GÖTALANDS LÄN</t>
        </is>
      </c>
      <c r="G347" t="inlineStr">
        <is>
          <t>TANUM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45599</v>
      </c>
      <c r="E348" s="1" t="n">
        <v>46298</v>
      </c>
      <c r="F348" t="inlineStr">
        <is>
          <t>VÄSTRA GÖTALANDS LÄN</t>
        </is>
      </c>
      <c r="G348" t="inlineStr">
        <is>
          <t>TANUM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46298</v>
      </c>
      <c r="F349" t="inlineStr">
        <is>
          <t>VÄSTRA GÖTALANDS LÄN</t>
        </is>
      </c>
      <c r="G349" t="inlineStr">
        <is>
          <t>TANUM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46298</v>
      </c>
      <c r="F350" t="inlineStr">
        <is>
          <t>VÄSTRA GÖTALANDS LÄN</t>
        </is>
      </c>
      <c r="G350" t="inlineStr">
        <is>
          <t>TANUM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45190</v>
      </c>
      <c r="E351" s="1" t="n">
        <v>46298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46298</v>
      </c>
      <c r="F352" t="inlineStr">
        <is>
          <t>VÄSTRA GÖTALANDS LÄN</t>
        </is>
      </c>
      <c r="G352" t="inlineStr">
        <is>
          <t>TANUM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46298</v>
      </c>
      <c r="F353" t="inlineStr">
        <is>
          <t>VÄSTRA GÖTALANDS LÄN</t>
        </is>
      </c>
      <c r="G353" t="inlineStr">
        <is>
          <t>TANUM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44929</v>
      </c>
      <c r="E354" s="1" t="n">
        <v>46298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46298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45655</v>
      </c>
      <c r="E356" s="1" t="n">
        <v>46298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44585</v>
      </c>
      <c r="E357" s="1" t="n">
        <v>46298</v>
      </c>
      <c r="F357" t="inlineStr">
        <is>
          <t>VÄSTRA GÖTALANDS LÄN</t>
        </is>
      </c>
      <c r="G357" t="inlineStr">
        <is>
          <t>TANUM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46298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46298</v>
      </c>
      <c r="F359" t="inlineStr">
        <is>
          <t>VÄSTRA GÖTALANDS LÄN</t>
        </is>
      </c>
      <c r="G359" t="inlineStr">
        <is>
          <t>TANUM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46298</v>
      </c>
      <c r="F360" t="inlineStr">
        <is>
          <t>VÄSTRA GÖTALANDS LÄN</t>
        </is>
      </c>
      <c r="G360" t="inlineStr">
        <is>
          <t>TANUM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23228-2022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44719</v>
      </c>
      <c r="E361" s="1" t="n">
        <v>46298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46298</v>
      </c>
      <c r="F362" t="inlineStr">
        <is>
          <t>VÄSTRA GÖTALANDS LÄN</t>
        </is>
      </c>
      <c r="G362" t="inlineStr">
        <is>
          <t>TANUM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46298</v>
      </c>
      <c r="F363" t="inlineStr">
        <is>
          <t>VÄSTRA GÖTALANDS LÄN</t>
        </is>
      </c>
      <c r="G363" t="inlineStr">
        <is>
          <t>TANUM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46298</v>
      </c>
      <c r="F364" t="inlineStr">
        <is>
          <t>VÄSTRA GÖTALANDS LÄN</t>
        </is>
      </c>
      <c r="G364" t="inlineStr">
        <is>
          <t>TANUM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46298</v>
      </c>
      <c r="F365" t="inlineStr">
        <is>
          <t>VÄSTRA GÖTALANDS LÄN</t>
        </is>
      </c>
      <c r="G365" t="inlineStr">
        <is>
          <t>TANUM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46298</v>
      </c>
      <c r="F366" t="inlineStr">
        <is>
          <t>VÄSTRA GÖTALANDS LÄN</t>
        </is>
      </c>
      <c r="G366" t="inlineStr">
        <is>
          <t>TANUM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24100-2022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44725</v>
      </c>
      <c r="E367" s="1" t="n">
        <v>46298</v>
      </c>
      <c r="F367" t="inlineStr">
        <is>
          <t>VÄSTRA GÖTALANDS LÄN</t>
        </is>
      </c>
      <c r="G367" t="inlineStr">
        <is>
          <t>TANUM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46298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46298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46298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46298</v>
      </c>
      <c r="F371" t="inlineStr">
        <is>
          <t>VÄSTRA GÖTALANDS LÄN</t>
        </is>
      </c>
      <c r="G371" t="inlineStr">
        <is>
          <t>TANUM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46259</v>
      </c>
      <c r="E372" s="1" t="n">
        <v>46298</v>
      </c>
      <c r="F372" t="inlineStr">
        <is>
          <t>VÄSTRA GÖTALANDS LÄN</t>
        </is>
      </c>
      <c r="G372" t="inlineStr">
        <is>
          <t>TANUM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34848-2026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46258</v>
      </c>
      <c r="E373" s="1" t="n">
        <v>46298</v>
      </c>
      <c r="F373" t="inlineStr">
        <is>
          <t>VÄSTRA GÖTALANDS LÄN</t>
        </is>
      </c>
      <c r="G373" t="inlineStr">
        <is>
          <t>TANUM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44969</v>
      </c>
      <c r="E374" s="1" t="n">
        <v>46298</v>
      </c>
      <c r="F374" t="inlineStr">
        <is>
          <t>VÄSTRA GÖTALANDS LÄN</t>
        </is>
      </c>
      <c r="G374" t="inlineStr">
        <is>
          <t>TANUM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46258</v>
      </c>
      <c r="E375" s="1" t="n">
        <v>46298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46260</v>
      </c>
      <c r="E376" s="1" t="n">
        <v>46298</v>
      </c>
      <c r="F376" t="inlineStr">
        <is>
          <t>VÄSTRA GÖTALANDS LÄN</t>
        </is>
      </c>
      <c r="G376" t="inlineStr">
        <is>
          <t>TANUM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46298</v>
      </c>
      <c r="F377" t="inlineStr">
        <is>
          <t>VÄSTRA GÖTALANDS LÄN</t>
        </is>
      </c>
      <c r="G377" t="inlineStr">
        <is>
          <t>TANUM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46298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11786-2024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45374</v>
      </c>
      <c r="E379" s="1" t="n">
        <v>46298</v>
      </c>
      <c r="F379" t="inlineStr">
        <is>
          <t>VÄSTRA GÖTALANDS LÄN</t>
        </is>
      </c>
      <c r="G379" t="inlineStr">
        <is>
          <t>TANUM</t>
        </is>
      </c>
      <c r="I379" t="n">
        <v>12.4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45525</v>
      </c>
      <c r="E380" s="1" t="n">
        <v>46298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46298</v>
      </c>
      <c r="F381" t="inlineStr">
        <is>
          <t>VÄSTRA GÖTALANDS LÄN</t>
        </is>
      </c>
      <c r="G381" t="inlineStr">
        <is>
          <t>TANUM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46298</v>
      </c>
      <c r="F382" t="inlineStr">
        <is>
          <t>VÄSTRA GÖTALANDS LÄN</t>
        </is>
      </c>
      <c r="G382" t="inlineStr">
        <is>
          <t>TANUM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46298</v>
      </c>
      <c r="F383" t="inlineStr">
        <is>
          <t>VÄSTRA GÖTALANDS LÄN</t>
        </is>
      </c>
      <c r="G383" t="inlineStr">
        <is>
          <t>TANUM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45102</v>
      </c>
      <c r="E384" s="1" t="n">
        <v>46298</v>
      </c>
      <c r="F384" t="inlineStr">
        <is>
          <t>VÄSTRA GÖTALANDS LÄN</t>
        </is>
      </c>
      <c r="G384" t="inlineStr">
        <is>
          <t>TANUM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45023</v>
      </c>
      <c r="E385" s="1" t="n">
        <v>46298</v>
      </c>
      <c r="F385" t="inlineStr">
        <is>
          <t>VÄSTRA GÖTALANDS LÄN</t>
        </is>
      </c>
      <c r="G385" t="inlineStr">
        <is>
          <t>TANUM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46298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44573</v>
      </c>
      <c r="E387" s="1" t="n">
        <v>46298</v>
      </c>
      <c r="F387" t="inlineStr">
        <is>
          <t>VÄSTRA GÖTALANDS LÄN</t>
        </is>
      </c>
      <c r="G387" t="inlineStr">
        <is>
          <t>TANUM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45279</v>
      </c>
      <c r="E388" s="1" t="n">
        <v>46298</v>
      </c>
      <c r="F388" t="inlineStr">
        <is>
          <t>VÄSTRA GÖTALANDS LÄN</t>
        </is>
      </c>
      <c r="G388" t="inlineStr">
        <is>
          <t>TANUM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46231</v>
      </c>
      <c r="E389" s="1" t="n">
        <v>46298</v>
      </c>
      <c r="F389" t="inlineStr">
        <is>
          <t>VÄSTRA GÖTALANDS LÄN</t>
        </is>
      </c>
      <c r="G389" t="inlineStr">
        <is>
          <t>TANUM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31968-2026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46231</v>
      </c>
      <c r="E390" s="1" t="n">
        <v>46298</v>
      </c>
      <c r="F390" t="inlineStr">
        <is>
          <t>VÄSTRA GÖTALANDS LÄN</t>
        </is>
      </c>
      <c r="G390" t="inlineStr">
        <is>
          <t>TANUM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46298</v>
      </c>
      <c r="F391" t="inlineStr">
        <is>
          <t>VÄSTRA GÖTALANDS LÄN</t>
        </is>
      </c>
      <c r="G391" t="inlineStr">
        <is>
          <t>TANUM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48302-2022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44858</v>
      </c>
      <c r="E392" s="1" t="n">
        <v>46298</v>
      </c>
      <c r="F392" t="inlineStr">
        <is>
          <t>VÄSTRA GÖTALANDS LÄN</t>
        </is>
      </c>
      <c r="G392" t="inlineStr">
        <is>
          <t>TANUM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46298</v>
      </c>
      <c r="F393" t="inlineStr">
        <is>
          <t>VÄSTRA GÖTALANDS LÄN</t>
        </is>
      </c>
      <c r="G393" t="inlineStr">
        <is>
          <t>TANUM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46298</v>
      </c>
      <c r="F394" t="inlineStr">
        <is>
          <t>VÄSTRA GÖTALANDS LÄN</t>
        </is>
      </c>
      <c r="G394" t="inlineStr">
        <is>
          <t>TANUM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45026</v>
      </c>
      <c r="E395" s="1" t="n">
        <v>46298</v>
      </c>
      <c r="F395" t="inlineStr">
        <is>
          <t>VÄSTRA GÖTALANDS LÄN</t>
        </is>
      </c>
      <c r="G395" t="inlineStr">
        <is>
          <t>TANUM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46272</v>
      </c>
      <c r="E396" s="1" t="n">
        <v>46298</v>
      </c>
      <c r="F396" t="inlineStr">
        <is>
          <t>VÄSTRA GÖTALANDS LÄN</t>
        </is>
      </c>
      <c r="G396" t="inlineStr">
        <is>
          <t>TANUM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37017-2026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46298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37605-2026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46298</v>
      </c>
      <c r="F398" t="inlineStr">
        <is>
          <t>VÄSTRA GÖTALANDS LÄN</t>
        </is>
      </c>
      <c r="G398" t="inlineStr">
        <is>
          <t>TANUM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46298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46298</v>
      </c>
      <c r="F400" t="inlineStr">
        <is>
          <t>VÄSTRA GÖTALANDS LÄN</t>
        </is>
      </c>
      <c r="G400" t="inlineStr">
        <is>
          <t>TANUM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44799</v>
      </c>
      <c r="E401" s="1" t="n">
        <v>46298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46298</v>
      </c>
      <c r="F402" t="inlineStr">
        <is>
          <t>VÄSTRA GÖTALANDS LÄN</t>
        </is>
      </c>
      <c r="G402" t="inlineStr">
        <is>
          <t>TANUM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46298</v>
      </c>
      <c r="F403" t="inlineStr">
        <is>
          <t>VÄSTRA GÖTALANDS LÄN</t>
        </is>
      </c>
      <c r="G403" t="inlineStr">
        <is>
          <t>TANUM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46298</v>
      </c>
      <c r="F404" t="inlineStr">
        <is>
          <t>VÄSTRA GÖTALANDS LÄN</t>
        </is>
      </c>
      <c r="G404" t="inlineStr">
        <is>
          <t>TANUM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46298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46298</v>
      </c>
      <c r="F406" t="inlineStr">
        <is>
          <t>VÄSTRA GÖTALANDS LÄN</t>
        </is>
      </c>
      <c r="G406" t="inlineStr">
        <is>
          <t>TANUM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46298</v>
      </c>
      <c r="F407" t="inlineStr">
        <is>
          <t>VÄSTRA GÖTALANDS LÄN</t>
        </is>
      </c>
      <c r="G407" t="inlineStr">
        <is>
          <t>TANUM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44832</v>
      </c>
      <c r="E408" s="1" t="n">
        <v>46298</v>
      </c>
      <c r="F408" t="inlineStr">
        <is>
          <t>VÄSTRA GÖTALANDS LÄN</t>
        </is>
      </c>
      <c r="G408" t="inlineStr">
        <is>
          <t>TANUM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46240</v>
      </c>
      <c r="E409" s="1" t="n">
        <v>46298</v>
      </c>
      <c r="F409" t="inlineStr">
        <is>
          <t>VÄSTRA GÖTALANDS LÄN</t>
        </is>
      </c>
      <c r="G409" t="inlineStr">
        <is>
          <t>TANUM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46298</v>
      </c>
      <c r="F410" t="inlineStr">
        <is>
          <t>VÄSTRA GÖTALANDS LÄN</t>
        </is>
      </c>
      <c r="G410" t="inlineStr">
        <is>
          <t>TANUM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45384</v>
      </c>
      <c r="E411" s="1" t="n">
        <v>46298</v>
      </c>
      <c r="F411" t="inlineStr">
        <is>
          <t>VÄSTRA GÖTALANDS LÄN</t>
        </is>
      </c>
      <c r="G411" t="inlineStr">
        <is>
          <t>TANUM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46298</v>
      </c>
      <c r="F412" t="inlineStr">
        <is>
          <t>VÄSTRA GÖTALANDS LÄN</t>
        </is>
      </c>
      <c r="G412" t="inlineStr">
        <is>
          <t>TANUM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46273</v>
      </c>
      <c r="E413" s="1" t="n">
        <v>46298</v>
      </c>
      <c r="F413" t="inlineStr">
        <is>
          <t>VÄSTRA GÖTALANDS LÄN</t>
        </is>
      </c>
      <c r="G413" t="inlineStr">
        <is>
          <t>TANUM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46298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45272</v>
      </c>
      <c r="E415" s="1" t="n">
        <v>46298</v>
      </c>
      <c r="F415" t="inlineStr">
        <is>
          <t>VÄSTRA GÖTALANDS LÄN</t>
        </is>
      </c>
      <c r="G415" t="inlineStr">
        <is>
          <t>TANUM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44601</v>
      </c>
      <c r="E416" s="1" t="n">
        <v>46298</v>
      </c>
      <c r="F416" t="inlineStr">
        <is>
          <t>VÄSTRA GÖTALANDS LÄN</t>
        </is>
      </c>
      <c r="G416" t="inlineStr">
        <is>
          <t>TANUM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45575</v>
      </c>
      <c r="E417" s="1" t="n">
        <v>46298</v>
      </c>
      <c r="F417" t="inlineStr">
        <is>
          <t>VÄSTRA GÖTALANDS LÄN</t>
        </is>
      </c>
      <c r="G417" t="inlineStr">
        <is>
          <t>TANUM</t>
        </is>
      </c>
      <c r="H417" t="inlineStr">
        <is>
          <t>Naturvårdsverket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46286</v>
      </c>
      <c r="E418" s="1" t="n">
        <v>46298</v>
      </c>
      <c r="F418" t="inlineStr">
        <is>
          <t>VÄSTRA GÖTALANDS LÄN</t>
        </is>
      </c>
      <c r="G418" t="inlineStr">
        <is>
          <t>TANUM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46298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44591</v>
      </c>
      <c r="E420" s="1" t="n">
        <v>46298</v>
      </c>
      <c r="F420" t="inlineStr">
        <is>
          <t>VÄSTRA GÖTALANDS LÄN</t>
        </is>
      </c>
      <c r="G420" t="inlineStr">
        <is>
          <t>TANUM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45309</v>
      </c>
      <c r="E421" s="1" t="n">
        <v>46298</v>
      </c>
      <c r="F421" t="inlineStr">
        <is>
          <t>VÄSTRA GÖTALANDS LÄN</t>
        </is>
      </c>
      <c r="G421" t="inlineStr">
        <is>
          <t>TANUM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45029</v>
      </c>
      <c r="E422" s="1" t="n">
        <v>46298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46292</v>
      </c>
      <c r="E423" s="1" t="n">
        <v>46298</v>
      </c>
      <c r="F423" t="inlineStr">
        <is>
          <t>VÄSTRA GÖTALANDS LÄN</t>
        </is>
      </c>
      <c r="G423" t="inlineStr">
        <is>
          <t>TANUM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46298</v>
      </c>
      <c r="F424" t="inlineStr">
        <is>
          <t>VÄSTRA GÖTALANDS LÄN</t>
        </is>
      </c>
      <c r="G424" t="inlineStr">
        <is>
          <t>TANUM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46293</v>
      </c>
      <c r="E425" s="1" t="n">
        <v>46298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45259</v>
      </c>
      <c r="E426" s="1" t="n">
        <v>46298</v>
      </c>
      <c r="F426" t="inlineStr">
        <is>
          <t>VÄSTRA GÖTALANDS LÄN</t>
        </is>
      </c>
      <c r="G426" t="inlineStr">
        <is>
          <t>TANUM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46247</v>
      </c>
      <c r="E427" s="1" t="n">
        <v>46298</v>
      </c>
      <c r="F427" t="inlineStr">
        <is>
          <t>VÄSTRA GÖTALANDS LÄN</t>
        </is>
      </c>
      <c r="G427" t="inlineStr">
        <is>
          <t>TANUM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46298</v>
      </c>
      <c r="F428" t="inlineStr">
        <is>
          <t>VÄSTRA GÖTALANDS LÄN</t>
        </is>
      </c>
      <c r="G428" t="inlineStr">
        <is>
          <t>TANUM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46298</v>
      </c>
      <c r="F429" t="inlineStr">
        <is>
          <t>VÄSTRA GÖTALANDS LÄN</t>
        </is>
      </c>
      <c r="G429" t="inlineStr">
        <is>
          <t>TANUM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46298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46298</v>
      </c>
      <c r="F431" t="inlineStr">
        <is>
          <t>VÄSTRA GÖTALANDS LÄN</t>
        </is>
      </c>
      <c r="G431" t="inlineStr">
        <is>
          <t>TANUM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44817</v>
      </c>
      <c r="E432" s="1" t="n">
        <v>46298</v>
      </c>
      <c r="F432" t="inlineStr">
        <is>
          <t>VÄSTRA GÖTALANDS LÄN</t>
        </is>
      </c>
      <c r="G432" t="inlineStr">
        <is>
          <t>TANUM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46298</v>
      </c>
      <c r="F433" t="inlineStr">
        <is>
          <t>VÄSTRA GÖTALANDS LÄN</t>
        </is>
      </c>
      <c r="G433" t="inlineStr">
        <is>
          <t>TANUM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56379-2022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44890</v>
      </c>
      <c r="E434" s="1" t="n">
        <v>46298</v>
      </c>
      <c r="F434" t="inlineStr">
        <is>
          <t>VÄSTRA GÖTALANDS LÄN</t>
        </is>
      </c>
      <c r="G434" t="inlineStr">
        <is>
          <t>TANUM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14269-2022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44651</v>
      </c>
      <c r="E435" s="1" t="n">
        <v>46298</v>
      </c>
      <c r="F435" t="inlineStr">
        <is>
          <t>VÄSTRA GÖTALANDS LÄN</t>
        </is>
      </c>
      <c r="G435" t="inlineStr">
        <is>
          <t>TANUM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45035</v>
      </c>
      <c r="E436" s="1" t="n">
        <v>46298</v>
      </c>
      <c r="F436" t="inlineStr">
        <is>
          <t>VÄSTRA GÖTALANDS LÄN</t>
        </is>
      </c>
      <c r="G436" t="inlineStr">
        <is>
          <t>TANUM</t>
        </is>
      </c>
      <c r="H436" t="inlineStr">
        <is>
          <t>Kyrkan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46294</v>
      </c>
      <c r="E437" s="1" t="n">
        <v>46298</v>
      </c>
      <c r="F437" t="inlineStr">
        <is>
          <t>VÄSTRA GÖTALANDS LÄN</t>
        </is>
      </c>
      <c r="G437" t="inlineStr">
        <is>
          <t>TANUM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45596</v>
      </c>
      <c r="E438" s="1" t="n">
        <v>46298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45463</v>
      </c>
      <c r="E439" s="1" t="n">
        <v>46298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45450</v>
      </c>
      <c r="E440" s="1" t="n">
        <v>46298</v>
      </c>
      <c r="F440" t="inlineStr">
        <is>
          <t>VÄSTRA GÖTALANDS LÄN</t>
        </is>
      </c>
      <c r="G440" t="inlineStr">
        <is>
          <t>TANUM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46298</v>
      </c>
      <c r="F441" t="inlineStr">
        <is>
          <t>VÄSTRA GÖTALANDS LÄN</t>
        </is>
      </c>
      <c r="G441" t="inlineStr">
        <is>
          <t>TANUM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44841</v>
      </c>
      <c r="E442" s="1" t="n">
        <v>46298</v>
      </c>
      <c r="F442" t="inlineStr">
        <is>
          <t>VÄSTRA GÖTALANDS LÄN</t>
        </is>
      </c>
      <c r="G442" t="inlineStr">
        <is>
          <t>TANUM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46298</v>
      </c>
      <c r="F443" t="inlineStr">
        <is>
          <t>VÄSTRA GÖTALANDS LÄN</t>
        </is>
      </c>
      <c r="G443" t="inlineStr">
        <is>
          <t>TANUM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45231</v>
      </c>
      <c r="E444" s="1" t="n">
        <v>46298</v>
      </c>
      <c r="F444" t="inlineStr">
        <is>
          <t>VÄSTRA GÖTALANDS LÄN</t>
        </is>
      </c>
      <c r="G444" t="inlineStr">
        <is>
          <t>TANUM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46298</v>
      </c>
      <c r="F445" t="inlineStr">
        <is>
          <t>VÄSTRA GÖTALANDS LÄN</t>
        </is>
      </c>
      <c r="G445" t="inlineStr">
        <is>
          <t>TANUM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45155</v>
      </c>
      <c r="E446" s="1" t="n">
        <v>46298</v>
      </c>
      <c r="F446" t="inlineStr">
        <is>
          <t>VÄSTRA GÖTALANDS LÄN</t>
        </is>
      </c>
      <c r="G446" t="inlineStr">
        <is>
          <t>TANUM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45063</v>
      </c>
      <c r="E447" s="1" t="n">
        <v>46298</v>
      </c>
      <c r="F447" t="inlineStr">
        <is>
          <t>VÄSTRA GÖTALANDS LÄN</t>
        </is>
      </c>
      <c r="G447" t="inlineStr">
        <is>
          <t>TANUM</t>
        </is>
      </c>
      <c r="H447" t="inlineStr">
        <is>
          <t>Kyrkan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46298</v>
      </c>
      <c r="F448" t="inlineStr">
        <is>
          <t>VÄSTRA GÖTALANDS LÄN</t>
        </is>
      </c>
      <c r="G448" t="inlineStr">
        <is>
          <t>TANUM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44908</v>
      </c>
      <c r="E449" s="1" t="n">
        <v>46298</v>
      </c>
      <c r="F449" t="inlineStr">
        <is>
          <t>VÄSTRA GÖTALANDS LÄN</t>
        </is>
      </c>
      <c r="G449" t="inlineStr">
        <is>
          <t>TANUM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45440</v>
      </c>
      <c r="E450" s="1" t="n">
        <v>46298</v>
      </c>
      <c r="F450" t="inlineStr">
        <is>
          <t>VÄSTRA GÖTALANDS LÄN</t>
        </is>
      </c>
      <c r="G450" t="inlineStr">
        <is>
          <t>TANUM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20190-2022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44698</v>
      </c>
      <c r="E451" s="1" t="n">
        <v>46298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46298</v>
      </c>
      <c r="F452" t="inlineStr">
        <is>
          <t>VÄSTRA GÖTALANDS LÄN</t>
        </is>
      </c>
      <c r="G452" t="inlineStr">
        <is>
          <t>TANUM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46298</v>
      </c>
      <c r="F453" t="inlineStr">
        <is>
          <t>VÄSTRA GÖTALANDS LÄN</t>
        </is>
      </c>
      <c r="G453" t="inlineStr">
        <is>
          <t>TANUM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44573</v>
      </c>
      <c r="E454" s="1" t="n">
        <v>46298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44879</v>
      </c>
      <c r="E455" s="1" t="n">
        <v>46298</v>
      </c>
      <c r="F455" t="inlineStr">
        <is>
          <t>VÄSTRA GÖTALANDS LÄN</t>
        </is>
      </c>
      <c r="G455" t="inlineStr">
        <is>
          <t>TANUM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46298</v>
      </c>
      <c r="F456" t="inlineStr">
        <is>
          <t>VÄSTRA GÖTALANDS LÄN</t>
        </is>
      </c>
      <c r="G456" t="inlineStr">
        <is>
          <t>TANUM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45692</v>
      </c>
      <c r="E457" s="1" t="n">
        <v>46298</v>
      </c>
      <c r="F457" t="inlineStr">
        <is>
          <t>VÄSTRA GÖTALANDS LÄN</t>
        </is>
      </c>
      <c r="G457" t="inlineStr">
        <is>
          <t>TANUM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44613</v>
      </c>
      <c r="E458" s="1" t="n">
        <v>46298</v>
      </c>
      <c r="F458" t="inlineStr">
        <is>
          <t>VÄSTRA GÖTALANDS LÄN</t>
        </is>
      </c>
      <c r="G458" t="inlineStr">
        <is>
          <t>TANUM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46298</v>
      </c>
      <c r="F459" t="inlineStr">
        <is>
          <t>VÄSTRA GÖTALANDS LÄN</t>
        </is>
      </c>
      <c r="G459" t="inlineStr">
        <is>
          <t>TANUM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46298</v>
      </c>
      <c r="F460" t="inlineStr">
        <is>
          <t>VÄSTRA GÖTALANDS LÄN</t>
        </is>
      </c>
      <c r="G460" t="inlineStr">
        <is>
          <t>TANUM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46298</v>
      </c>
      <c r="F461" t="inlineStr">
        <is>
          <t>VÄSTRA GÖTALANDS LÄN</t>
        </is>
      </c>
      <c r="G461" t="inlineStr">
        <is>
          <t>TANUM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46298</v>
      </c>
      <c r="F462" t="inlineStr">
        <is>
          <t>VÄSTRA GÖTALANDS LÄN</t>
        </is>
      </c>
      <c r="G462" t="inlineStr">
        <is>
          <t>TANUM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45371</v>
      </c>
      <c r="E463" s="1" t="n">
        <v>46298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46298</v>
      </c>
      <c r="F464" t="inlineStr">
        <is>
          <t>VÄSTRA GÖTALANDS LÄN</t>
        </is>
      </c>
      <c r="G464" t="inlineStr">
        <is>
          <t>TANUM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45571</v>
      </c>
      <c r="E465" s="1" t="n">
        <v>46298</v>
      </c>
      <c r="F465" t="inlineStr">
        <is>
          <t>VÄSTRA GÖTALANDS LÄN</t>
        </is>
      </c>
      <c r="G465" t="inlineStr">
        <is>
          <t>TANUM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43242-2022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44834</v>
      </c>
      <c r="E466" s="1" t="n">
        <v>46298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58335-2021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44488</v>
      </c>
      <c r="E467" s="1" t="n">
        <v>46298</v>
      </c>
      <c r="F467" t="inlineStr">
        <is>
          <t>VÄSTRA GÖTALANDS LÄN</t>
        </is>
      </c>
      <c r="G467" t="inlineStr">
        <is>
          <t>TANUM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46298</v>
      </c>
      <c r="F468" t="inlineStr">
        <is>
          <t>VÄSTRA GÖTALANDS LÄN</t>
        </is>
      </c>
      <c r="G468" t="inlineStr">
        <is>
          <t>TANUM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46298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45415</v>
      </c>
      <c r="E470" s="1" t="n">
        <v>46298</v>
      </c>
      <c r="F470" t="inlineStr">
        <is>
          <t>VÄSTRA GÖTALANDS LÄN</t>
        </is>
      </c>
      <c r="G470" t="inlineStr">
        <is>
          <t>TANUM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45748</v>
      </c>
      <c r="E471" s="1" t="n">
        <v>46298</v>
      </c>
      <c r="F471" t="inlineStr">
        <is>
          <t>VÄSTRA GÖTALANDS LÄN</t>
        </is>
      </c>
      <c r="G471" t="inlineStr">
        <is>
          <t>TANUM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45072</v>
      </c>
      <c r="E472" s="1" t="n">
        <v>46298</v>
      </c>
      <c r="F472" t="inlineStr">
        <is>
          <t>VÄSTRA GÖTALANDS LÄN</t>
        </is>
      </c>
      <c r="G472" t="inlineStr">
        <is>
          <t>TANUM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46298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46298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46298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9009-2021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44509</v>
      </c>
      <c r="E476" s="1" t="n">
        <v>46298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3471-2023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45204</v>
      </c>
      <c r="E477" s="1" t="n">
        <v>46298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1128-2026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46133</v>
      </c>
      <c r="E478" s="1" t="n">
        <v>46298</v>
      </c>
      <c r="F478" t="inlineStr">
        <is>
          <t>VÄSTRA GÖTALANDS LÄN</t>
        </is>
      </c>
      <c r="G478" t="inlineStr">
        <is>
          <t>TANUM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2026-10-03T01:59:44Z</dcterms:created>
  <dcterms:modified xmlns:dcterms="http://purl.org/dc/terms/" xmlns:xsi="http://www.w3.org/2001/XMLSchema-instance" xsi:type="dcterms:W3CDTF">2026-10-03T01:59:45Z</dcterms:modified>
</cp:coreProperties>
</file>