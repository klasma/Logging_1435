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45569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45569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45569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45569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45569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45569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25142-2021</t>
        </is>
      </c>
      <c r="B8" s="1" t="n">
        <v>44341</v>
      </c>
      <c r="C8" s="1" t="n">
        <v>45569</v>
      </c>
      <c r="D8" t="inlineStr">
        <is>
          <t>VÄSTRA GÖTALANDS LÄN</t>
        </is>
      </c>
      <c r="E8" t="inlineStr">
        <is>
          <t>TANUM</t>
        </is>
      </c>
      <c r="G8" t="n">
        <v>1.3</v>
      </c>
      <c r="H8" t="n">
        <v>2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Ljungögontröst
Slåttergubbe
Åkerrättika
Rödlånke
Svinrot
Plattlummer
Mattlummer</t>
        </is>
      </c>
      <c r="S8">
        <f>HYPERLINK("https://klasma.github.io/Logging_1435/artfynd/A 25142-2021 artfynd.xlsx", "A 25142-2021")</f>
        <v/>
      </c>
      <c r="T8">
        <f>HYPERLINK("https://klasma.github.io/Logging_1435/kartor/A 25142-2021 karta.png", "A 25142-2021")</f>
        <v/>
      </c>
      <c r="V8">
        <f>HYPERLINK("https://klasma.github.io/Logging_1435/klagomål/A 25142-2021 FSC-klagomål.docx", "A 25142-2021")</f>
        <v/>
      </c>
      <c r="W8">
        <f>HYPERLINK("https://klasma.github.io/Logging_1435/klagomålsmail/A 25142-2021 FSC-klagomål mail.docx", "A 25142-2021")</f>
        <v/>
      </c>
      <c r="X8">
        <f>HYPERLINK("https://klasma.github.io/Logging_1435/tillsyn/A 25142-2021 tillsynsbegäran.docx", "A 25142-2021")</f>
        <v/>
      </c>
      <c r="Y8">
        <f>HYPERLINK("https://klasma.github.io/Logging_1435/tillsynsmail/A 25142-2021 tillsynsbegäran mail.docx", "A 25142-2021")</f>
        <v/>
      </c>
    </row>
    <row r="9" ht="15" customHeight="1">
      <c r="A9" t="inlineStr">
        <is>
          <t>A 11943-2024</t>
        </is>
      </c>
      <c r="B9" s="1" t="n">
        <v>45376</v>
      </c>
      <c r="C9" s="1" t="n">
        <v>45569</v>
      </c>
      <c r="D9" t="inlineStr">
        <is>
          <t>VÄSTRA GÖTALANDS LÄN</t>
        </is>
      </c>
      <c r="E9" t="inlineStr">
        <is>
          <t>TANUM</t>
        </is>
      </c>
      <c r="G9" t="n">
        <v>8.699999999999999</v>
      </c>
      <c r="H9" t="n">
        <v>5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Kambräken
Fläcknycklar
Lopplummer
Mattlummer
Revlummer</t>
        </is>
      </c>
      <c r="S9">
        <f>HYPERLINK("https://klasma.github.io/Logging_1435/artfynd/A 11943-2024 artfynd.xlsx", "A 11943-2024")</f>
        <v/>
      </c>
      <c r="T9">
        <f>HYPERLINK("https://klasma.github.io/Logging_1435/kartor/A 11943-2024 karta.png", "A 11943-2024")</f>
        <v/>
      </c>
      <c r="U9">
        <f>HYPERLINK("https://klasma.github.io/Logging_1435/knärot/A 11943-2024 karta knärot.png", "A 11943-2024")</f>
        <v/>
      </c>
      <c r="V9">
        <f>HYPERLINK("https://klasma.github.io/Logging_1435/klagomål/A 11943-2024 FSC-klagomål.docx", "A 11943-2024")</f>
        <v/>
      </c>
      <c r="W9">
        <f>HYPERLINK("https://klasma.github.io/Logging_1435/klagomålsmail/A 11943-2024 FSC-klagomål mail.docx", "A 11943-2024")</f>
        <v/>
      </c>
      <c r="X9">
        <f>HYPERLINK("https://klasma.github.io/Logging_1435/tillsyn/A 11943-2024 tillsynsbegäran.docx", "A 11943-2024")</f>
        <v/>
      </c>
      <c r="Y9">
        <f>HYPERLINK("https://klasma.github.io/Logging_1435/tillsynsmail/A 11943-2024 tillsynsbegäran mail.docx", "A 11943-2024")</f>
        <v/>
      </c>
    </row>
    <row r="10" ht="15" customHeight="1">
      <c r="A10" t="inlineStr">
        <is>
          <t>A 45388-2019</t>
        </is>
      </c>
      <c r="B10" s="1" t="n">
        <v>43707</v>
      </c>
      <c r="C10" s="1" t="n">
        <v>45569</v>
      </c>
      <c r="D10" t="inlineStr">
        <is>
          <t>VÄSTRA GÖTALANDS LÄN</t>
        </is>
      </c>
      <c r="E10" t="inlineStr">
        <is>
          <t>TANUM</t>
        </is>
      </c>
      <c r="G10" t="n">
        <v>2.4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Järpe
Spillkråka
Stor revmossa
Västlig hakmossa
Revlummer</t>
        </is>
      </c>
      <c r="S10">
        <f>HYPERLINK("https://klasma.github.io/Logging_1435/artfynd/A 45388-2019 artfynd.xlsx", "A 45388-2019")</f>
        <v/>
      </c>
      <c r="T10">
        <f>HYPERLINK("https://klasma.github.io/Logging_1435/kartor/A 45388-2019 karta.png", "A 45388-2019")</f>
        <v/>
      </c>
      <c r="V10">
        <f>HYPERLINK("https://klasma.github.io/Logging_1435/klagomål/A 45388-2019 FSC-klagomål.docx", "A 45388-2019")</f>
        <v/>
      </c>
      <c r="W10">
        <f>HYPERLINK("https://klasma.github.io/Logging_1435/klagomålsmail/A 45388-2019 FSC-klagomål mail.docx", "A 45388-2019")</f>
        <v/>
      </c>
      <c r="X10">
        <f>HYPERLINK("https://klasma.github.io/Logging_1435/tillsyn/A 45388-2019 tillsynsbegäran.docx", "A 45388-2019")</f>
        <v/>
      </c>
      <c r="Y10">
        <f>HYPERLINK("https://klasma.github.io/Logging_1435/tillsynsmail/A 45388-2019 tillsynsbegäran mail.docx", "A 45388-2019")</f>
        <v/>
      </c>
      <c r="Z10">
        <f>HYPERLINK("https://klasma.github.io/Logging_1435/fåglar/A 45388-2019 prioriterade fågelarter.docx", "A 45388-2019")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45569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35310-2024</t>
        </is>
      </c>
      <c r="B12" s="1" t="n">
        <v>45530</v>
      </c>
      <c r="C12" s="1" t="n">
        <v>45569</v>
      </c>
      <c r="D12" t="inlineStr">
        <is>
          <t>VÄSTRA GÖTALANDS LÄN</t>
        </is>
      </c>
      <c r="E12" t="inlineStr">
        <is>
          <t>TANUM</t>
        </is>
      </c>
      <c r="G12" t="n">
        <v>2.1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Tretåig hackspett
Korallblylav
Stor revmossa
Tjäder</t>
        </is>
      </c>
      <c r="S12">
        <f>HYPERLINK("https://klasma.github.io/Logging_1435/artfynd/A 35310-2024 artfynd.xlsx", "A 35310-2024")</f>
        <v/>
      </c>
      <c r="T12">
        <f>HYPERLINK("https://klasma.github.io/Logging_1435/kartor/A 35310-2024 karta.png", "A 35310-2024")</f>
        <v/>
      </c>
      <c r="U12">
        <f>HYPERLINK("https://klasma.github.io/Logging_1435/knärot/A 35310-2024 karta knärot.png", "A 35310-2024")</f>
        <v/>
      </c>
      <c r="V12">
        <f>HYPERLINK("https://klasma.github.io/Logging_1435/klagomål/A 35310-2024 FSC-klagomål.docx", "A 35310-2024")</f>
        <v/>
      </c>
      <c r="W12">
        <f>HYPERLINK("https://klasma.github.io/Logging_1435/klagomålsmail/A 35310-2024 FSC-klagomål mail.docx", "A 35310-2024")</f>
        <v/>
      </c>
      <c r="X12">
        <f>HYPERLINK("https://klasma.github.io/Logging_1435/tillsyn/A 35310-2024 tillsynsbegäran.docx", "A 35310-2024")</f>
        <v/>
      </c>
      <c r="Y12">
        <f>HYPERLINK("https://klasma.github.io/Logging_1435/tillsynsmail/A 35310-2024 tillsynsbegäran mail.docx", "A 35310-2024")</f>
        <v/>
      </c>
      <c r="Z12">
        <f>HYPERLINK("https://klasma.github.io/Logging_1435/fåglar/A 35310-2024 prioriterade fågelarter.docx", "A 35310-2024")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45569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45569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45569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45569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45569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45569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45569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45569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45569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45569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45569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45569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45569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45569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45569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45569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45569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45569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45569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45569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45569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45569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45569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45569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45569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45569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45569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45569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45569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45569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45569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45569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45569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45569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45569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45569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45569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45569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45569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45569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45569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45569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45569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45569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45569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45569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45569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45569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45569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45569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45569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45569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45569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45569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45569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45569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45569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45569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45569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45569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45569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45569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45569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45569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45569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45569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45569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45569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45569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45569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45569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45569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45569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45569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45569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45569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45569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45569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45569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45569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45569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45569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45569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45569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45569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45569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45569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45569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45569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45569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45569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45569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45569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45569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45569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45569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45569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45569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45569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45569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45569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45569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45569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45569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45569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45569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45569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45569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45569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45569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45569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45569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45569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45569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45569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45569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45569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45569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45569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45569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45569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45569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45569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45569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45569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45569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45569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45569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45569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45569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45569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45569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45569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45569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45569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45569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45569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45569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45569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45569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45569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45569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45569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45569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45569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45569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45569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45569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45569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45569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45569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45569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45569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45569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45569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45569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45569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45569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45569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45569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45569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45569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45569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45569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45569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45569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45569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45569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45569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45569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45569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45569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45569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45569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45569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45569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45569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45569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45569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45569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45569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45569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45569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45569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45569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45569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45569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45569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45569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45569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45569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45569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45569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45569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45569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45569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45569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45569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45569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45569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45569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45569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45569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45569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45569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45569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45569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45569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45569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45569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45569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45569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45569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45569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45569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45569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45569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45569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45569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45569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45569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45569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45569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45569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45569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45569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45569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45569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45569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45569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45569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45569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45569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45569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45569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45569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45569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45569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45569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45569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45569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45569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45569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45569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45569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45569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45569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45569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45569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45569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45569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45569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45569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45569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45569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45569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45569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45569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45569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45569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45569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45569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45569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45569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45569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45569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45569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45569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45569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45569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45569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45569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45569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45569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45569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45569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45569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45569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45569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45569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45569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45569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45569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45569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45569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45569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45569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45569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45569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45569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45569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45569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45569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45569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45569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45569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45569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45569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45569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45569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45569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45569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45569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45569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45569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45569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45569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45569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45569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45569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45569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45569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45569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45569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45569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45569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45569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45569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45569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45569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45569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45569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45569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45569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45569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45569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45569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45569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45569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45569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45569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45569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45569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45569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45569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45569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45569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45569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45569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45569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45569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45569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45569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45569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45569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45569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45569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45569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45569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45569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45569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45569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45569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45569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45569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45569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45569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45569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45569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45569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45569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45569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45569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45569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45569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45569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45569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45569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45569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45569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45569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45569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45569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45569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45569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45569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45569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45569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45569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45569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45569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45569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45569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45569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45569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45569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45569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45569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45569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45569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45569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45569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45569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45569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45569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45569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45569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45569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45569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45569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45569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45569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45569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45569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45569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45569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45569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45569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45569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45569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45569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45569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45569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45569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45569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45569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45569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45569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45569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45569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45569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45569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45569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45569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45569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45569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45569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45569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45569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45569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45569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45569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45569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45569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45569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45569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45569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45569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45569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45569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45569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45569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45569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45569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45569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45569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45569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45569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45569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45569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45569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45569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45569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45569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45569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45569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45569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45569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45569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45569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45569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45569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45569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45569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45569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45569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45569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45569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45569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45569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45569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45569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45569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45569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45569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45569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45569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45569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45569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45569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45569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45569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45569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45569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45569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45569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45569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45569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45569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45569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45569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45569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45569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45569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45569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45569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45569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45569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45569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45569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45569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45569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45569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45569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45569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45569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45569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45569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45569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45569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45569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45569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45569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45569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45569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45569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45569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45569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45569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45569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45569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45569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45569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45569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45569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45569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45569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45569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45569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45569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45569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45569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45569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45569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45569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45569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45569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45569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45569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45569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45569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45569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45569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45569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45569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45569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45569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45569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45569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45569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45569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45569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45569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45569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45569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45569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45569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45569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45569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45569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45569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45569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45569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45569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45569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45569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45569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45569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45569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45569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45569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45569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45569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45569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45569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45569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45569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45569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45569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45569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45569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45569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45569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45569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45569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45569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45569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45569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45569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45569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45569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45569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45569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45569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45569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45569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45569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45569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45569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45569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45569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45569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45569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45569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45569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45569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45569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45569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45569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45569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45569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45569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45569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45569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45569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45569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45569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45569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45569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45569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45569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45569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45569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45569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45569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45569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45569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45569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45569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45569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45569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45569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45569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45569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45569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45569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45569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45569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45569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45569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45569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45569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45569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45569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45569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45569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45569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45569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45569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45569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45569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45569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45569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45569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45569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45569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45569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45569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45569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45569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45569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45569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45569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45569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45569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45569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45569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45569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45569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45569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45569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45569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45569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45569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45569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45569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45569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45569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45569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45569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45569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45569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45569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45569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45569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45569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45569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45569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45569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45569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45569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45569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45569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45569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45569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45569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45569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45569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45569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45569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45569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45569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45569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45569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45569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45569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45569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45569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45569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43364-2024</t>
        </is>
      </c>
      <c r="B722" s="1" t="n">
        <v>45568</v>
      </c>
      <c r="C722" s="1" t="n">
        <v>45569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2024-10-04T12:57:15Z</dcterms:created>
  <dcterms:modified xmlns:dcterms="http://purl.org/dc/terms/" xmlns:xsi="http://www.w3.org/2001/XMLSchema-instance" xsi:type="dcterms:W3CDTF">2024-10-04T12:57:15Z</dcterms:modified>
</cp:coreProperties>
</file>