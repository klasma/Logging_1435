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46288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46288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46288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46288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46288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46288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46288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46288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46288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46288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33558-2026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46288</v>
      </c>
      <c r="F22" t="inlineStr">
        <is>
          <t>VÄSTRA GÖTALANDS LÄN</t>
        </is>
      </c>
      <c r="G22" t="inlineStr">
        <is>
          <t>TANUM</t>
        </is>
      </c>
      <c r="I22" t="n">
        <v>6.7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Barkticka
Vanlig padda
Revlummer</t>
        </is>
      </c>
      <c r="W22">
        <f>HYPERLINK("https://klasma.github.io/Logging_1435/artfynd/A 33558-2026 artfynd.xlsx", "A 33558-2026")</f>
        <v/>
      </c>
      <c r="X22">
        <f>HYPERLINK("https://klasma.github.io/Logging_1435/kartor/A 33558-2026 karta.png", "A 33558-2026")</f>
        <v/>
      </c>
      <c r="Y22">
        <f>HYPERLINK("https://klasma.github.io/Logging_1435/kartor_geotiff/A 33558-2026 georefererad karta.tif", "A 33558-2026")</f>
        <v/>
      </c>
      <c r="AA22">
        <f>HYPERLINK("https://klasma.github.io/Logging_1435/klagomål/A 33558-2026 FSC-klagomål.docx", "A 33558-2026")</f>
        <v/>
      </c>
      <c r="AB22">
        <f>HYPERLINK("https://klasma.github.io/Logging_1435/klagomålsmail/A 33558-2026 FSC-klagomål mail.docx", "A 33558-2026")</f>
        <v/>
      </c>
      <c r="AC22">
        <f>HYPERLINK("https://klasma.github.io/Logging_1435/tillsyn/A 33558-2026 tillsynsbegäran.docx", "A 33558-2026")</f>
        <v/>
      </c>
      <c r="AD22">
        <f>HYPERLINK("https://klasma.github.io/Logging_1435/tillsynsmail/A 33558-2026 tillsynsbegäran mail.docx", "A 33558-2026")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46288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46288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46288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46288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3497-2024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45317</v>
      </c>
      <c r="E27" s="1" t="n">
        <v>46288</v>
      </c>
      <c r="F27" t="inlineStr">
        <is>
          <t>VÄSTRA GÖTALANDS LÄN</t>
        </is>
      </c>
      <c r="G27" t="inlineStr">
        <is>
          <t>TANUM</t>
        </is>
      </c>
      <c r="I27" t="n">
        <v>0.3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Fällmossa
Västlig hakmossa</t>
        </is>
      </c>
      <c r="W27">
        <f>HYPERLINK("https://klasma.github.io/Logging_1435/artfynd/A 3497-2024 artfynd.xlsx", "A 3497-2024")</f>
        <v/>
      </c>
      <c r="X27">
        <f>HYPERLINK("https://klasma.github.io/Logging_1435/kartor/A 3497-2024 karta.png", "A 3497-2024")</f>
        <v/>
      </c>
      <c r="Y27">
        <f>HYPERLINK("https://klasma.github.io/Logging_1435/kartor_geotiff/A 3497-2024 georefererad karta.tif", "A 3497-2024")</f>
        <v/>
      </c>
      <c r="AA27">
        <f>HYPERLINK("https://klasma.github.io/Logging_1435/klagomål/A 3497-2024 FSC-klagomål.docx", "A 3497-2024")</f>
        <v/>
      </c>
      <c r="AB27">
        <f>HYPERLINK("https://klasma.github.io/Logging_1435/klagomålsmail/A 3497-2024 FSC-klagomål mail.docx", "A 3497-2024")</f>
        <v/>
      </c>
      <c r="AC27">
        <f>HYPERLINK("https://klasma.github.io/Logging_1435/tillsyn/A 3497-2024 tillsynsbegäran.docx", "A 3497-2024")</f>
        <v/>
      </c>
      <c r="AD27">
        <f>HYPERLINK("https://klasma.github.io/Logging_1435/tillsynsmail/A 3497-2024 tillsynsbegäran mail.docx", "A 3497-2024")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46288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46288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46288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46288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46288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46288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46288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46288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46288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46288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HYPERLINK("https://klasma.github.io/Logging_1435/artfynd/A 19343-2025 artfynd.xlsx", "A 19343-2025")</f>
        <v/>
      </c>
      <c r="X37">
        <f>HYPERLINK("https://klasma.github.io/Logging_1435/kartor/A 19343-2025 karta.png", "A 19343-2025")</f>
        <v/>
      </c>
      <c r="Y37">
        <f>HYPERLINK("https://klasma.github.io/Logging_1435/kartor_geotiff/A 19343-2025 georefererad karta.tif", "A 19343-2025")</f>
        <v/>
      </c>
      <c r="AA37">
        <f>HYPERLINK("https://klasma.github.io/Logging_1435/klagomål/A 19343-2025 FSC-klagomål.docx", "A 19343-2025")</f>
        <v/>
      </c>
      <c r="AB37">
        <f>HYPERLINK("https://klasma.github.io/Logging_1435/klagomålsmail/A 19343-2025 FSC-klagomål mail.docx", "A 19343-2025")</f>
        <v/>
      </c>
      <c r="AC37">
        <f>HYPERLINK("https://klasma.github.io/Logging_1435/tillsyn/A 19343-2025 tillsynsbegäran.docx", "A 19343-2025")</f>
        <v/>
      </c>
      <c r="AD37">
        <f>HYPERLINK("https://klasma.github.io/Logging_1435/tillsynsmail/A 19343-2025 tillsynsbegäran mail.docx", "A 19343-2025")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46288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57566-2023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46288</v>
      </c>
      <c r="F39" t="inlineStr">
        <is>
          <t>VÄSTRA GÖTALANDS LÄN</t>
        </is>
      </c>
      <c r="G39" t="inlineStr">
        <is>
          <t>TANUM</t>
        </is>
      </c>
      <c r="I39" t="n">
        <v>1.5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HYPERLINK("https://klasma.github.io/Logging_1435/artfynd/A 57566-2023 artfynd.xlsx", "A 57566-2023")</f>
        <v/>
      </c>
      <c r="X39">
        <f>HYPERLINK("https://klasma.github.io/Logging_1435/kartor/A 57566-2023 karta.png", "A 57566-2023")</f>
        <v/>
      </c>
      <c r="Y39">
        <f>HYPERLINK("https://klasma.github.io/Logging_1435/kartor_geotiff/A 57566-2023 georefererad karta.tif", "A 57566-2023")</f>
        <v/>
      </c>
      <c r="AA39">
        <f>HYPERLINK("https://klasma.github.io/Logging_1435/klagomål/A 57566-2023 FSC-klagomål.docx", "A 57566-2023")</f>
        <v/>
      </c>
      <c r="AB39">
        <f>HYPERLINK("https://klasma.github.io/Logging_1435/klagomålsmail/A 57566-2023 FSC-klagomål mail.docx", "A 57566-2023")</f>
        <v/>
      </c>
      <c r="AC39">
        <f>HYPERLINK("https://klasma.github.io/Logging_1435/tillsyn/A 57566-2023 tillsynsbegäran.docx", "A 57566-2023")</f>
        <v/>
      </c>
      <c r="AD39">
        <f>HYPERLINK("https://klasma.github.io/Logging_1435/tillsynsmail/A 57566-2023 tillsynsbegäran mail.docx", "A 57566-2023")</f>
        <v/>
      </c>
    </row>
    <row r="40" ht="15" customHeight="1">
      <c r="A40" t="inlineStr">
        <is>
          <t>A 9698-2024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45362</v>
      </c>
      <c r="E40" s="1" t="n">
        <v>46288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HYPERLINK("https://klasma.github.io/Logging_1435/artfynd/A 9698-2024 artfynd.xlsx", "A 9698-2024")</f>
        <v/>
      </c>
      <c r="X40">
        <f>HYPERLINK("https://klasma.github.io/Logging_1435/kartor/A 9698-2024 karta.png", "A 9698-2024")</f>
        <v/>
      </c>
      <c r="Y40">
        <f>HYPERLINK("https://klasma.github.io/Logging_1435/kartor_geotiff/A 9698-2024 georefererad karta.tif", "A 9698-2024")</f>
        <v/>
      </c>
      <c r="AA40">
        <f>HYPERLINK("https://klasma.github.io/Logging_1435/klagomål/A 9698-2024 FSC-klagomål.docx", "A 9698-2024")</f>
        <v/>
      </c>
      <c r="AB40">
        <f>HYPERLINK("https://klasma.github.io/Logging_1435/klagomålsmail/A 9698-2024 FSC-klagomål mail.docx", "A 9698-2024")</f>
        <v/>
      </c>
      <c r="AC40">
        <f>HYPERLINK("https://klasma.github.io/Logging_1435/tillsyn/A 9698-2024 tillsynsbegäran.docx", "A 9698-2024")</f>
        <v/>
      </c>
      <c r="AD40">
        <f>HYPERLINK("https://klasma.github.io/Logging_1435/tillsynsmail/A 9698-2024 tillsynsbegäran mail.docx", "A 9698-2024")</f>
        <v/>
      </c>
    </row>
    <row r="41" ht="15" customHeight="1">
      <c r="A41" t="inlineStr">
        <is>
          <t>A 39358-2025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45889</v>
      </c>
      <c r="E41" s="1" t="n">
        <v>46288</v>
      </c>
      <c r="F41" t="inlineStr">
        <is>
          <t>VÄSTRA GÖTALANDS LÄN</t>
        </is>
      </c>
      <c r="G41" t="inlineStr">
        <is>
          <t>TANUM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Åkerkulla</t>
        </is>
      </c>
      <c r="W41">
        <f>HYPERLINK("https://klasma.github.io/Logging_1435/artfynd/A 39358-2025 artfynd.xlsx", "A 39358-2025")</f>
        <v/>
      </c>
      <c r="X41">
        <f>HYPERLINK("https://klasma.github.io/Logging_1435/kartor/A 39358-2025 karta.png", "A 39358-2025")</f>
        <v/>
      </c>
      <c r="Y41">
        <f>HYPERLINK("https://klasma.github.io/Logging_1435/kartor_geotiff/A 39358-2025 georefererad karta.tif", "A 39358-2025")</f>
        <v/>
      </c>
      <c r="AA41">
        <f>HYPERLINK("https://klasma.github.io/Logging_1435/klagomål/A 39358-2025 FSC-klagomål.docx", "A 39358-2025")</f>
        <v/>
      </c>
      <c r="AB41">
        <f>HYPERLINK("https://klasma.github.io/Logging_1435/klagomålsmail/A 39358-2025 FSC-klagomål mail.docx", "A 39358-2025")</f>
        <v/>
      </c>
      <c r="AC41">
        <f>HYPERLINK("https://klasma.github.io/Logging_1435/tillsyn/A 39358-2025 tillsynsbegäran.docx", "A 39358-2025")</f>
        <v/>
      </c>
      <c r="AD41">
        <f>HYPERLINK("https://klasma.github.io/Logging_1435/tillsynsmail/A 39358-2025 tillsynsbegäran mail.docx", "A 39358-2025")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46288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46288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HYPERLINK("https://klasma.github.io/Logging_1435/artfynd/A 10764-2025 artfynd.xlsx", "A 10764-2025")</f>
        <v/>
      </c>
      <c r="X43">
        <f>HYPERLINK("https://klasma.github.io/Logging_1435/kartor/A 10764-2025 karta.png", "A 10764-2025")</f>
        <v/>
      </c>
      <c r="Y43">
        <f>HYPERLINK("https://klasma.github.io/Logging_1435/kartor_geotiff/A 10764-2025 georefererad karta.tif", "A 10764-2025")</f>
        <v/>
      </c>
      <c r="AA43">
        <f>HYPERLINK("https://klasma.github.io/Logging_1435/klagomål/A 10764-2025 FSC-klagomål.docx", "A 10764-2025")</f>
        <v/>
      </c>
      <c r="AB43">
        <f>HYPERLINK("https://klasma.github.io/Logging_1435/klagomålsmail/A 10764-2025 FSC-klagomål mail.docx", "A 10764-2025")</f>
        <v/>
      </c>
      <c r="AC43">
        <f>HYPERLINK("https://klasma.github.io/Logging_1435/tillsyn/A 10764-2025 tillsynsbegäran.docx", "A 10764-2025")</f>
        <v/>
      </c>
      <c r="AD43">
        <f>HYPERLINK("https://klasma.github.io/Logging_1435/tillsynsmail/A 10764-2025 tillsynsbegäran mail.docx", "A 10764-2025")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46288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46288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46288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46288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46288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46288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46288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46288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46288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46288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46288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46288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46288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46288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46288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46288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46288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46288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46288</v>
      </c>
      <c r="F62" t="inlineStr">
        <is>
          <t>VÄSTRA GÖTALANDS LÄN</t>
        </is>
      </c>
      <c r="G62" t="inlineStr">
        <is>
          <t>TANUM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46288</v>
      </c>
      <c r="F63" t="inlineStr">
        <is>
          <t>VÄSTRA GÖTALANDS LÄN</t>
        </is>
      </c>
      <c r="G63" t="inlineStr">
        <is>
          <t>TANUM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46288</v>
      </c>
      <c r="F64" t="inlineStr">
        <is>
          <t>VÄSTRA GÖTALANDS LÄN</t>
        </is>
      </c>
      <c r="G64" t="inlineStr">
        <is>
          <t>TANUM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46288</v>
      </c>
      <c r="F65" t="inlineStr">
        <is>
          <t>VÄSTRA GÖTALANDS LÄN</t>
        </is>
      </c>
      <c r="G65" t="inlineStr">
        <is>
          <t>TANUM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46288</v>
      </c>
      <c r="F66" t="inlineStr">
        <is>
          <t>VÄSTRA GÖTALANDS LÄN</t>
        </is>
      </c>
      <c r="G66" t="inlineStr">
        <is>
          <t>TANUM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23800-2022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44722</v>
      </c>
      <c r="E67" s="1" t="n">
        <v>46288</v>
      </c>
      <c r="F67" t="inlineStr">
        <is>
          <t>VÄSTRA GÖTALANDS LÄN</t>
        </is>
      </c>
      <c r="G67" t="inlineStr">
        <is>
          <t>TANUM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46288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44837</v>
      </c>
      <c r="E69" s="1" t="n">
        <v>46288</v>
      </c>
      <c r="F69" t="inlineStr">
        <is>
          <t>VÄSTRA GÖTALANDS LÄN</t>
        </is>
      </c>
      <c r="G69" t="inlineStr">
        <is>
          <t>TANUM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26187-2022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44735</v>
      </c>
      <c r="E70" s="1" t="n">
        <v>46288</v>
      </c>
      <c r="F70" t="inlineStr">
        <is>
          <t>VÄSTRA GÖTALANDS LÄN</t>
        </is>
      </c>
      <c r="G70" t="inlineStr">
        <is>
          <t>TANUM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44563</v>
      </c>
      <c r="E71" s="1" t="n">
        <v>46288</v>
      </c>
      <c r="F71" t="inlineStr">
        <is>
          <t>VÄSTRA GÖTALANDS LÄN</t>
        </is>
      </c>
      <c r="G71" t="inlineStr">
        <is>
          <t>TANUM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63323-2021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46288</v>
      </c>
      <c r="F72" t="inlineStr">
        <is>
          <t>VÄSTRA GÖTALANDS LÄN</t>
        </is>
      </c>
      <c r="G72" t="inlineStr">
        <is>
          <t>TANUM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46288</v>
      </c>
      <c r="F73" t="inlineStr">
        <is>
          <t>VÄSTRA GÖTALANDS LÄN</t>
        </is>
      </c>
      <c r="G73" t="inlineStr">
        <is>
          <t>TANUM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46288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46288</v>
      </c>
      <c r="F75" t="inlineStr">
        <is>
          <t>VÄSTRA GÖTALANDS LÄN</t>
        </is>
      </c>
      <c r="G75" t="inlineStr">
        <is>
          <t>TANUM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34213-2022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44791</v>
      </c>
      <c r="E76" s="1" t="n">
        <v>46288</v>
      </c>
      <c r="F76" t="inlineStr">
        <is>
          <t>VÄSTRA GÖTALANDS LÄN</t>
        </is>
      </c>
      <c r="G76" t="inlineStr">
        <is>
          <t>TANUM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44731</v>
      </c>
      <c r="E77" s="1" t="n">
        <v>46288</v>
      </c>
      <c r="F77" t="inlineStr">
        <is>
          <t>VÄSTRA GÖTALANDS LÄN</t>
        </is>
      </c>
      <c r="G77" t="inlineStr">
        <is>
          <t>TANUM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46288</v>
      </c>
      <c r="F78" t="inlineStr">
        <is>
          <t>VÄSTRA GÖTALANDS LÄN</t>
        </is>
      </c>
      <c r="G78" t="inlineStr">
        <is>
          <t>TANUM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46288</v>
      </c>
      <c r="F79" t="inlineStr">
        <is>
          <t>VÄSTRA GÖTALANDS LÄN</t>
        </is>
      </c>
      <c r="G79" t="inlineStr">
        <is>
          <t>TANUM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68214-2021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46288</v>
      </c>
      <c r="F80" t="inlineStr">
        <is>
          <t>VÄSTRA GÖTALANDS LÄN</t>
        </is>
      </c>
      <c r="G80" t="inlineStr">
        <is>
          <t>TANUM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46288</v>
      </c>
      <c r="F81" t="inlineStr">
        <is>
          <t>VÄSTRA GÖTALANDS LÄN</t>
        </is>
      </c>
      <c r="G81" t="inlineStr">
        <is>
          <t>TANUM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52403-2021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44463</v>
      </c>
      <c r="E82" s="1" t="n">
        <v>46288</v>
      </c>
      <c r="F82" t="inlineStr">
        <is>
          <t>VÄSTRA GÖTALANDS LÄN</t>
        </is>
      </c>
      <c r="G82" t="inlineStr">
        <is>
          <t>TANUM</t>
        </is>
      </c>
      <c r="H82" t="inlineStr">
        <is>
          <t>Kyrkan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46288</v>
      </c>
      <c r="F83" t="inlineStr">
        <is>
          <t>VÄSTRA GÖTALANDS LÄN</t>
        </is>
      </c>
      <c r="G83" t="inlineStr">
        <is>
          <t>TANUM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46288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46288</v>
      </c>
      <c r="F85" t="inlineStr">
        <is>
          <t>VÄSTRA GÖTALANDS LÄN</t>
        </is>
      </c>
      <c r="G85" t="inlineStr">
        <is>
          <t>TANUM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44484</v>
      </c>
      <c r="E86" s="1" t="n">
        <v>46288</v>
      </c>
      <c r="F86" t="inlineStr">
        <is>
          <t>VÄSTRA GÖTALANDS LÄN</t>
        </is>
      </c>
      <c r="G86" t="inlineStr">
        <is>
          <t>TANUM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46288</v>
      </c>
      <c r="F87" t="inlineStr">
        <is>
          <t>VÄSTRA GÖTALANDS LÄN</t>
        </is>
      </c>
      <c r="G87" t="inlineStr">
        <is>
          <t>TANUM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44506</v>
      </c>
      <c r="E88" s="1" t="n">
        <v>46288</v>
      </c>
      <c r="F88" t="inlineStr">
        <is>
          <t>VÄSTRA GÖTALANDS LÄN</t>
        </is>
      </c>
      <c r="G88" t="inlineStr">
        <is>
          <t>TANUM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44470</v>
      </c>
      <c r="E89" s="1" t="n">
        <v>46288</v>
      </c>
      <c r="F89" t="inlineStr">
        <is>
          <t>VÄSTRA GÖTALANDS LÄN</t>
        </is>
      </c>
      <c r="G89" t="inlineStr">
        <is>
          <t>TANUM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46288</v>
      </c>
      <c r="F90" t="inlineStr">
        <is>
          <t>VÄSTRA GÖTALANDS LÄN</t>
        </is>
      </c>
      <c r="G90" t="inlineStr">
        <is>
          <t>TANUM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45273</v>
      </c>
      <c r="E91" s="1" t="n">
        <v>46288</v>
      </c>
      <c r="F91" t="inlineStr">
        <is>
          <t>VÄSTRA GÖTALANDS LÄN</t>
        </is>
      </c>
      <c r="G91" t="inlineStr">
        <is>
          <t>TANUM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46288</v>
      </c>
      <c r="F92" t="inlineStr">
        <is>
          <t>VÄSTRA GÖTALANDS LÄN</t>
        </is>
      </c>
      <c r="G92" t="inlineStr">
        <is>
          <t>TANUM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46288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46288</v>
      </c>
      <c r="F94" t="inlineStr">
        <is>
          <t>VÄSTRA GÖTALANDS LÄN</t>
        </is>
      </c>
      <c r="G94" t="inlineStr">
        <is>
          <t>TANUM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46288</v>
      </c>
      <c r="F95" t="inlineStr">
        <is>
          <t>VÄSTRA GÖTALANDS LÄN</t>
        </is>
      </c>
      <c r="G95" t="inlineStr">
        <is>
          <t>TANUM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46288</v>
      </c>
      <c r="F96" t="inlineStr">
        <is>
          <t>VÄSTRA GÖTALANDS LÄN</t>
        </is>
      </c>
      <c r="G96" t="inlineStr">
        <is>
          <t>TANUM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44954</v>
      </c>
      <c r="E97" s="1" t="n">
        <v>46288</v>
      </c>
      <c r="F97" t="inlineStr">
        <is>
          <t>VÄSTRA GÖTALANDS LÄN</t>
        </is>
      </c>
      <c r="G97" t="inlineStr">
        <is>
          <t>TANUM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46288</v>
      </c>
      <c r="F98" t="inlineStr">
        <is>
          <t>VÄSTRA GÖTALANDS LÄN</t>
        </is>
      </c>
      <c r="G98" t="inlineStr">
        <is>
          <t>TANUM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37790-2023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46288</v>
      </c>
      <c r="F99" t="inlineStr">
        <is>
          <t>VÄSTRA GÖTALANDS LÄN</t>
        </is>
      </c>
      <c r="G99" t="inlineStr">
        <is>
          <t>TANUM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45261</v>
      </c>
      <c r="E100" s="1" t="n">
        <v>46288</v>
      </c>
      <c r="F100" t="inlineStr">
        <is>
          <t>VÄSTRA GÖTALANDS LÄN</t>
        </is>
      </c>
      <c r="G100" t="inlineStr">
        <is>
          <t>TANUM</t>
        </is>
      </c>
      <c r="I100" t="n">
        <v>11.3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46288</v>
      </c>
      <c r="F101" t="inlineStr">
        <is>
          <t>VÄSTRA GÖTALANDS LÄN</t>
        </is>
      </c>
      <c r="G101" t="inlineStr">
        <is>
          <t>TANUM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46288</v>
      </c>
      <c r="F102" t="inlineStr">
        <is>
          <t>VÄSTRA GÖTALANDS LÄN</t>
        </is>
      </c>
      <c r="G102" t="inlineStr">
        <is>
          <t>TANUM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46288</v>
      </c>
      <c r="F103" t="inlineStr">
        <is>
          <t>VÄSTRA GÖTALANDS LÄN</t>
        </is>
      </c>
      <c r="G103" t="inlineStr">
        <is>
          <t>TANUM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45102</v>
      </c>
      <c r="E104" s="1" t="n">
        <v>46288</v>
      </c>
      <c r="F104" t="inlineStr">
        <is>
          <t>VÄSTRA GÖTALANDS LÄN</t>
        </is>
      </c>
      <c r="G104" t="inlineStr">
        <is>
          <t>TANUM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46288</v>
      </c>
      <c r="F105" t="inlineStr">
        <is>
          <t>VÄSTRA GÖTALANDS LÄN</t>
        </is>
      </c>
      <c r="G105" t="inlineStr">
        <is>
          <t>TANUM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44997</v>
      </c>
      <c r="E106" s="1" t="n">
        <v>46288</v>
      </c>
      <c r="F106" t="inlineStr">
        <is>
          <t>VÄSTRA GÖTALANDS LÄN</t>
        </is>
      </c>
      <c r="G106" t="inlineStr">
        <is>
          <t>TANUM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46288</v>
      </c>
      <c r="F107" t="inlineStr">
        <is>
          <t>VÄSTRA GÖTALANDS LÄN</t>
        </is>
      </c>
      <c r="G107" t="inlineStr">
        <is>
          <t>TANUM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46288</v>
      </c>
      <c r="F108" t="inlineStr">
        <is>
          <t>VÄSTRA GÖTALANDS LÄN</t>
        </is>
      </c>
      <c r="G108" t="inlineStr">
        <is>
          <t>TANUM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68161-2021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44526</v>
      </c>
      <c r="E109" s="1" t="n">
        <v>46288</v>
      </c>
      <c r="F109" t="inlineStr">
        <is>
          <t>VÄSTRA GÖTALANDS LÄN</t>
        </is>
      </c>
      <c r="G109" t="inlineStr">
        <is>
          <t>TANUM</t>
        </is>
      </c>
      <c r="I109" t="n">
        <v>10.3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44890</v>
      </c>
      <c r="E110" s="1" t="n">
        <v>46288</v>
      </c>
      <c r="F110" t="inlineStr">
        <is>
          <t>VÄSTRA GÖTALANDS LÄN</t>
        </is>
      </c>
      <c r="G110" t="inlineStr">
        <is>
          <t>TANUM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46288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46288</v>
      </c>
      <c r="F112" t="inlineStr">
        <is>
          <t>VÄSTRA GÖTALANDS LÄN</t>
        </is>
      </c>
      <c r="G112" t="inlineStr">
        <is>
          <t>TANUM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45085</v>
      </c>
      <c r="E113" s="1" t="n">
        <v>46288</v>
      </c>
      <c r="F113" t="inlineStr">
        <is>
          <t>VÄSTRA GÖTALANDS LÄN</t>
        </is>
      </c>
      <c r="G113" t="inlineStr">
        <is>
          <t>TANUM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45506</v>
      </c>
      <c r="E114" s="1" t="n">
        <v>46288</v>
      </c>
      <c r="F114" t="inlineStr">
        <is>
          <t>VÄSTRA GÖTALANDS LÄN</t>
        </is>
      </c>
      <c r="G114" t="inlineStr">
        <is>
          <t>TANUM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46288</v>
      </c>
      <c r="F115" t="inlineStr">
        <is>
          <t>VÄSTRA GÖTALANDS LÄN</t>
        </is>
      </c>
      <c r="G115" t="inlineStr">
        <is>
          <t>TANUM</t>
        </is>
      </c>
      <c r="I115" t="n">
        <v>11.9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45209</v>
      </c>
      <c r="E116" s="1" t="n">
        <v>46288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46288</v>
      </c>
      <c r="F117" t="inlineStr">
        <is>
          <t>VÄSTRA GÖTALANDS LÄN</t>
        </is>
      </c>
      <c r="G117" t="inlineStr">
        <is>
          <t>TANUM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64990-2021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44514</v>
      </c>
      <c r="E118" s="1" t="n">
        <v>46288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46288</v>
      </c>
      <c r="F119" t="inlineStr">
        <is>
          <t>VÄSTRA GÖTALANDS LÄN</t>
        </is>
      </c>
      <c r="G119" t="inlineStr">
        <is>
          <t>TANUM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44887</v>
      </c>
      <c r="E120" s="1" t="n">
        <v>46288</v>
      </c>
      <c r="F120" t="inlineStr">
        <is>
          <t>VÄSTRA GÖTALANDS LÄN</t>
        </is>
      </c>
      <c r="G120" t="inlineStr">
        <is>
          <t>TANUM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45659</v>
      </c>
      <c r="E121" s="1" t="n">
        <v>46288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46288</v>
      </c>
      <c r="F122" t="inlineStr">
        <is>
          <t>VÄSTRA GÖTALANDS LÄN</t>
        </is>
      </c>
      <c r="G122" t="inlineStr">
        <is>
          <t>TANUM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44799</v>
      </c>
      <c r="E123" s="1" t="n">
        <v>46288</v>
      </c>
      <c r="F123" t="inlineStr">
        <is>
          <t>VÄSTRA GÖTALANDS LÄN</t>
        </is>
      </c>
      <c r="G123" t="inlineStr">
        <is>
          <t>TANUM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46288</v>
      </c>
      <c r="F124" t="inlineStr">
        <is>
          <t>VÄSTRA GÖTALANDS LÄN</t>
        </is>
      </c>
      <c r="G124" t="inlineStr">
        <is>
          <t>TANUM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46288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46288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46288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44792</v>
      </c>
      <c r="E128" s="1" t="n">
        <v>46288</v>
      </c>
      <c r="F128" t="inlineStr">
        <is>
          <t>VÄSTRA GÖTALANDS LÄN</t>
        </is>
      </c>
      <c r="G128" t="inlineStr">
        <is>
          <t>TANUM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46288</v>
      </c>
      <c r="F129" t="inlineStr">
        <is>
          <t>VÄSTRA GÖTALANDS LÄN</t>
        </is>
      </c>
      <c r="G129" t="inlineStr">
        <is>
          <t>TANUM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46288</v>
      </c>
      <c r="F130" t="inlineStr">
        <is>
          <t>VÄSTRA GÖTALANDS LÄN</t>
        </is>
      </c>
      <c r="G130" t="inlineStr">
        <is>
          <t>TANUM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46288</v>
      </c>
      <c r="F131" t="inlineStr">
        <is>
          <t>VÄSTRA GÖTALANDS LÄN</t>
        </is>
      </c>
      <c r="G131" t="inlineStr">
        <is>
          <t>TANUM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45515</v>
      </c>
      <c r="E132" s="1" t="n">
        <v>46288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45300</v>
      </c>
      <c r="E133" s="1" t="n">
        <v>46288</v>
      </c>
      <c r="F133" t="inlineStr">
        <is>
          <t>VÄSTRA GÖTALANDS LÄN</t>
        </is>
      </c>
      <c r="G133" t="inlineStr">
        <is>
          <t>TANUM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46288</v>
      </c>
      <c r="F134" t="inlineStr">
        <is>
          <t>VÄSTRA GÖTALANDS LÄN</t>
        </is>
      </c>
      <c r="G134" t="inlineStr">
        <is>
          <t>TANUM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44862</v>
      </c>
      <c r="E135" s="1" t="n">
        <v>46288</v>
      </c>
      <c r="F135" t="inlineStr">
        <is>
          <t>VÄSTRA GÖTALANDS LÄN</t>
        </is>
      </c>
      <c r="G135" t="inlineStr">
        <is>
          <t>TANUM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51825-2022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46288</v>
      </c>
      <c r="F136" t="inlineStr">
        <is>
          <t>VÄSTRA GÖTALANDS LÄN</t>
        </is>
      </c>
      <c r="G136" t="inlineStr">
        <is>
          <t>TANUM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45446</v>
      </c>
      <c r="E137" s="1" t="n">
        <v>46288</v>
      </c>
      <c r="F137" t="inlineStr">
        <is>
          <t>VÄSTRA GÖTALANDS LÄN</t>
        </is>
      </c>
      <c r="G137" t="inlineStr">
        <is>
          <t>TANUM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46288</v>
      </c>
      <c r="F138" t="inlineStr">
        <is>
          <t>VÄSTRA GÖTALANDS LÄN</t>
        </is>
      </c>
      <c r="G138" t="inlineStr">
        <is>
          <t>TANUM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46288</v>
      </c>
      <c r="F139" t="inlineStr">
        <is>
          <t>VÄSTRA GÖTALANDS LÄN</t>
        </is>
      </c>
      <c r="G139" t="inlineStr">
        <is>
          <t>TANUM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45516</v>
      </c>
      <c r="E140" s="1" t="n">
        <v>46288</v>
      </c>
      <c r="F140" t="inlineStr">
        <is>
          <t>VÄSTRA GÖTALANDS LÄN</t>
        </is>
      </c>
      <c r="G140" t="inlineStr">
        <is>
          <t>TANUM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46288</v>
      </c>
      <c r="F141" t="inlineStr">
        <is>
          <t>VÄSTRA GÖTALANDS LÄN</t>
        </is>
      </c>
      <c r="G141" t="inlineStr">
        <is>
          <t>TANUM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44627</v>
      </c>
      <c r="E142" s="1" t="n">
        <v>46288</v>
      </c>
      <c r="F142" t="inlineStr">
        <is>
          <t>VÄSTRA GÖTALANDS LÄN</t>
        </is>
      </c>
      <c r="G142" t="inlineStr">
        <is>
          <t>TANUM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73810-2021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44552</v>
      </c>
      <c r="E143" s="1" t="n">
        <v>46288</v>
      </c>
      <c r="F143" t="inlineStr">
        <is>
          <t>VÄSTRA GÖTALANDS LÄN</t>
        </is>
      </c>
      <c r="G143" t="inlineStr">
        <is>
          <t>TANUM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46288</v>
      </c>
      <c r="F144" t="inlineStr">
        <is>
          <t>VÄSTRA GÖTALANDS LÄN</t>
        </is>
      </c>
      <c r="G144" t="inlineStr">
        <is>
          <t>TANUM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44867</v>
      </c>
      <c r="E145" s="1" t="n">
        <v>46288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45677</v>
      </c>
      <c r="E146" s="1" t="n">
        <v>46288</v>
      </c>
      <c r="F146" t="inlineStr">
        <is>
          <t>VÄSTRA GÖTALANDS LÄN</t>
        </is>
      </c>
      <c r="G146" t="inlineStr">
        <is>
          <t>TANUM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46288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46288</v>
      </c>
      <c r="F148" t="inlineStr">
        <is>
          <t>VÄSTRA GÖTALANDS LÄN</t>
        </is>
      </c>
      <c r="G148" t="inlineStr">
        <is>
          <t>TANUM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46288</v>
      </c>
      <c r="F149" t="inlineStr">
        <is>
          <t>VÄSTRA GÖTALANDS LÄN</t>
        </is>
      </c>
      <c r="G149" t="inlineStr">
        <is>
          <t>TANUM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46288</v>
      </c>
      <c r="F150" t="inlineStr">
        <is>
          <t>VÄSTRA GÖTALANDS LÄN</t>
        </is>
      </c>
      <c r="G150" t="inlineStr">
        <is>
          <t>TANUM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46288</v>
      </c>
      <c r="F151" t="inlineStr">
        <is>
          <t>VÄSTRA GÖTALANDS LÄN</t>
        </is>
      </c>
      <c r="G151" t="inlineStr">
        <is>
          <t>TANUM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44939</v>
      </c>
      <c r="E152" s="1" t="n">
        <v>46288</v>
      </c>
      <c r="F152" t="inlineStr">
        <is>
          <t>VÄSTRA GÖTALANDS LÄN</t>
        </is>
      </c>
      <c r="G152" t="inlineStr">
        <is>
          <t>TANUM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46288</v>
      </c>
      <c r="F153" t="inlineStr">
        <is>
          <t>VÄSTRA GÖTALANDS LÄN</t>
        </is>
      </c>
      <c r="G153" t="inlineStr">
        <is>
          <t>TANUM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46288</v>
      </c>
      <c r="F154" t="inlineStr">
        <is>
          <t>VÄSTRA GÖTALANDS LÄN</t>
        </is>
      </c>
      <c r="G154" t="inlineStr">
        <is>
          <t>TANUM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45629</v>
      </c>
      <c r="E155" s="1" t="n">
        <v>46288</v>
      </c>
      <c r="F155" t="inlineStr">
        <is>
          <t>VÄSTRA GÖTALANDS LÄN</t>
        </is>
      </c>
      <c r="G155" t="inlineStr">
        <is>
          <t>TANUM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46288</v>
      </c>
      <c r="F156" t="inlineStr">
        <is>
          <t>VÄSTRA GÖTALANDS LÄN</t>
        </is>
      </c>
      <c r="G156" t="inlineStr">
        <is>
          <t>TANUM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45350</v>
      </c>
      <c r="E157" s="1" t="n">
        <v>46288</v>
      </c>
      <c r="F157" t="inlineStr">
        <is>
          <t>VÄSTRA GÖTALANDS LÄN</t>
        </is>
      </c>
      <c r="G157" t="inlineStr">
        <is>
          <t>TANUM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45874</v>
      </c>
      <c r="E158" s="1" t="n">
        <v>46288</v>
      </c>
      <c r="F158" t="inlineStr">
        <is>
          <t>VÄSTRA GÖTALANDS LÄN</t>
        </is>
      </c>
      <c r="G158" t="inlineStr">
        <is>
          <t>TANUM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46288</v>
      </c>
      <c r="F159" t="inlineStr">
        <is>
          <t>VÄSTRA GÖTALANDS LÄN</t>
        </is>
      </c>
      <c r="G159" t="inlineStr">
        <is>
          <t>TANUM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45873</v>
      </c>
      <c r="E160" s="1" t="n">
        <v>46288</v>
      </c>
      <c r="F160" t="inlineStr">
        <is>
          <t>VÄSTRA GÖTALANDS LÄN</t>
        </is>
      </c>
      <c r="G160" t="inlineStr">
        <is>
          <t>TANUM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46288</v>
      </c>
      <c r="F161" t="inlineStr">
        <is>
          <t>VÄSTRA GÖTALANDS LÄN</t>
        </is>
      </c>
      <c r="G161" t="inlineStr">
        <is>
          <t>TANUM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46288</v>
      </c>
      <c r="F162" t="inlineStr">
        <is>
          <t>VÄSTRA GÖTALANDS LÄN</t>
        </is>
      </c>
      <c r="G162" t="inlineStr">
        <is>
          <t>TANUM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46288</v>
      </c>
      <c r="F163" t="inlineStr">
        <is>
          <t>VÄSTRA GÖTALANDS LÄN</t>
        </is>
      </c>
      <c r="G163" t="inlineStr">
        <is>
          <t>TANUM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46288</v>
      </c>
      <c r="F164" t="inlineStr">
        <is>
          <t>VÄSTRA GÖTALANDS LÄN</t>
        </is>
      </c>
      <c r="G164" t="inlineStr">
        <is>
          <t>TANUM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45880</v>
      </c>
      <c r="E165" s="1" t="n">
        <v>46288</v>
      </c>
      <c r="F165" t="inlineStr">
        <is>
          <t>VÄSTRA GÖTALANDS LÄN</t>
        </is>
      </c>
      <c r="G165" t="inlineStr">
        <is>
          <t>TANUM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46288</v>
      </c>
      <c r="F166" t="inlineStr">
        <is>
          <t>VÄSTRA GÖTALANDS LÄN</t>
        </is>
      </c>
      <c r="G166" t="inlineStr">
        <is>
          <t>TANUM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45880</v>
      </c>
      <c r="E167" s="1" t="n">
        <v>46288</v>
      </c>
      <c r="F167" t="inlineStr">
        <is>
          <t>VÄSTRA GÖTALANDS LÄN</t>
        </is>
      </c>
      <c r="G167" t="inlineStr">
        <is>
          <t>TANUM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46288</v>
      </c>
      <c r="F168" t="inlineStr">
        <is>
          <t>VÄSTRA GÖTALANDS LÄN</t>
        </is>
      </c>
      <c r="G168" t="inlineStr">
        <is>
          <t>TANUM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46288</v>
      </c>
      <c r="F169" t="inlineStr">
        <is>
          <t>VÄSTRA GÖTALANDS LÄN</t>
        </is>
      </c>
      <c r="G169" t="inlineStr">
        <is>
          <t>TANUM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46288</v>
      </c>
      <c r="F170" t="inlineStr">
        <is>
          <t>VÄSTRA GÖTALANDS LÄN</t>
        </is>
      </c>
      <c r="G170" t="inlineStr">
        <is>
          <t>TANUM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46288</v>
      </c>
      <c r="F171" t="inlineStr">
        <is>
          <t>VÄSTRA GÖTALANDS LÄN</t>
        </is>
      </c>
      <c r="G171" t="inlineStr">
        <is>
          <t>TANUM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46288</v>
      </c>
      <c r="F172" t="inlineStr">
        <is>
          <t>VÄSTRA GÖTALANDS LÄN</t>
        </is>
      </c>
      <c r="G172" t="inlineStr">
        <is>
          <t>TANUM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46288</v>
      </c>
      <c r="F173" t="inlineStr">
        <is>
          <t>VÄSTRA GÖTALANDS LÄN</t>
        </is>
      </c>
      <c r="G173" t="inlineStr">
        <is>
          <t>TANUM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46288</v>
      </c>
      <c r="F174" t="inlineStr">
        <is>
          <t>VÄSTRA GÖTALANDS LÄN</t>
        </is>
      </c>
      <c r="G174" t="inlineStr">
        <is>
          <t>TANUM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46288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46288</v>
      </c>
      <c r="F176" t="inlineStr">
        <is>
          <t>VÄSTRA GÖTALANDS LÄN</t>
        </is>
      </c>
      <c r="G176" t="inlineStr">
        <is>
          <t>TANUM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45369</v>
      </c>
      <c r="E177" s="1" t="n">
        <v>46288</v>
      </c>
      <c r="F177" t="inlineStr">
        <is>
          <t>VÄSTRA GÖTALANDS LÄN</t>
        </is>
      </c>
      <c r="G177" t="inlineStr">
        <is>
          <t>TANUM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46139</v>
      </c>
      <c r="E178" s="1" t="n">
        <v>46288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44506</v>
      </c>
      <c r="E179" s="1" t="n">
        <v>46288</v>
      </c>
      <c r="F179" t="inlineStr">
        <is>
          <t>VÄSTRA GÖTALANDS LÄN</t>
        </is>
      </c>
      <c r="G179" t="inlineStr">
        <is>
          <t>TANUM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46288</v>
      </c>
      <c r="F180" t="inlineStr">
        <is>
          <t>VÄSTRA GÖTALANDS LÄN</t>
        </is>
      </c>
      <c r="G180" t="inlineStr">
        <is>
          <t>TANUM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46288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46288</v>
      </c>
      <c r="F182" t="inlineStr">
        <is>
          <t>VÄSTRA GÖTALANDS LÄN</t>
        </is>
      </c>
      <c r="G182" t="inlineStr">
        <is>
          <t>TANUM</t>
        </is>
      </c>
      <c r="I182" t="n">
        <v>13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46288</v>
      </c>
      <c r="F183" t="inlineStr">
        <is>
          <t>VÄSTRA GÖTALANDS LÄN</t>
        </is>
      </c>
      <c r="G183" t="inlineStr">
        <is>
          <t>TANUM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46288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46288</v>
      </c>
      <c r="F185" t="inlineStr">
        <is>
          <t>VÄSTRA GÖTALANDS LÄN</t>
        </is>
      </c>
      <c r="G185" t="inlineStr">
        <is>
          <t>TANUM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46288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46288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46288</v>
      </c>
      <c r="F188" t="inlineStr">
        <is>
          <t>VÄSTRA GÖTALANDS LÄN</t>
        </is>
      </c>
      <c r="G188" t="inlineStr">
        <is>
          <t>TANUM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46288</v>
      </c>
      <c r="F189" t="inlineStr">
        <is>
          <t>VÄSTRA GÖTALANDS LÄN</t>
        </is>
      </c>
      <c r="G189" t="inlineStr">
        <is>
          <t>TANUM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46288</v>
      </c>
      <c r="F190" t="inlineStr">
        <is>
          <t>VÄSTRA GÖTALANDS LÄN</t>
        </is>
      </c>
      <c r="G190" t="inlineStr">
        <is>
          <t>TANUM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46288</v>
      </c>
      <c r="F191" t="inlineStr">
        <is>
          <t>VÄSTRA GÖTALANDS LÄN</t>
        </is>
      </c>
      <c r="G191" t="inlineStr">
        <is>
          <t>TANUM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46288</v>
      </c>
      <c r="F192" t="inlineStr">
        <is>
          <t>VÄSTRA GÖTALANDS LÄN</t>
        </is>
      </c>
      <c r="G192" t="inlineStr">
        <is>
          <t>TANUM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46288</v>
      </c>
      <c r="F193" t="inlineStr">
        <is>
          <t>VÄSTRA GÖTALANDS LÄN</t>
        </is>
      </c>
      <c r="G193" t="inlineStr">
        <is>
          <t>TANUM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45673</v>
      </c>
      <c r="E194" s="1" t="n">
        <v>46288</v>
      </c>
      <c r="F194" t="inlineStr">
        <is>
          <t>VÄSTRA GÖTALANDS LÄN</t>
        </is>
      </c>
      <c r="G194" t="inlineStr">
        <is>
          <t>TANUM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45390</v>
      </c>
      <c r="E195" s="1" t="n">
        <v>46288</v>
      </c>
      <c r="F195" t="inlineStr">
        <is>
          <t>VÄSTRA GÖTALANDS LÄN</t>
        </is>
      </c>
      <c r="G195" t="inlineStr">
        <is>
          <t>TANUM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46288</v>
      </c>
      <c r="F196" t="inlineStr">
        <is>
          <t>VÄSTRA GÖTALANDS LÄN</t>
        </is>
      </c>
      <c r="G196" t="inlineStr">
        <is>
          <t>TANUM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46288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45987</v>
      </c>
      <c r="E198" s="1" t="n">
        <v>46288</v>
      </c>
      <c r="F198" t="inlineStr">
        <is>
          <t>VÄSTRA GÖTALANDS LÄN</t>
        </is>
      </c>
      <c r="G198" t="inlineStr">
        <is>
          <t>TANUM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46288</v>
      </c>
      <c r="F199" t="inlineStr">
        <is>
          <t>VÄSTRA GÖTALANDS LÄN</t>
        </is>
      </c>
      <c r="G199" t="inlineStr">
        <is>
          <t>TANUM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46288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46288</v>
      </c>
      <c r="F201" t="inlineStr">
        <is>
          <t>VÄSTRA GÖTALANDS LÄN</t>
        </is>
      </c>
      <c r="G201" t="inlineStr">
        <is>
          <t>TANUM</t>
        </is>
      </c>
      <c r="I201" t="n">
        <v>11.9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45387</v>
      </c>
      <c r="E202" s="1" t="n">
        <v>46288</v>
      </c>
      <c r="F202" t="inlineStr">
        <is>
          <t>VÄSTRA GÖTALANDS LÄN</t>
        </is>
      </c>
      <c r="G202" t="inlineStr">
        <is>
          <t>TANUM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45597</v>
      </c>
      <c r="E203" s="1" t="n">
        <v>46288</v>
      </c>
      <c r="F203" t="inlineStr">
        <is>
          <t>VÄSTRA GÖTALANDS LÄN</t>
        </is>
      </c>
      <c r="G203" t="inlineStr">
        <is>
          <t>TANUM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46288</v>
      </c>
      <c r="F204" t="inlineStr">
        <is>
          <t>VÄSTRA GÖTALANDS LÄN</t>
        </is>
      </c>
      <c r="G204" t="inlineStr">
        <is>
          <t>TANUM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46288</v>
      </c>
      <c r="F205" t="inlineStr">
        <is>
          <t>VÄSTRA GÖTALANDS LÄN</t>
        </is>
      </c>
      <c r="G205" t="inlineStr">
        <is>
          <t>TANUM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46288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45755</v>
      </c>
      <c r="E207" s="1" t="n">
        <v>46288</v>
      </c>
      <c r="F207" t="inlineStr">
        <is>
          <t>VÄSTRA GÖTALANDS LÄN</t>
        </is>
      </c>
      <c r="G207" t="inlineStr">
        <is>
          <t>TANUM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46288</v>
      </c>
      <c r="F208" t="inlineStr">
        <is>
          <t>VÄSTRA GÖTALANDS LÄN</t>
        </is>
      </c>
      <c r="G208" t="inlineStr">
        <is>
          <t>TANUM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46288</v>
      </c>
      <c r="F209" t="inlineStr">
        <is>
          <t>VÄSTRA GÖTALANDS LÄN</t>
        </is>
      </c>
      <c r="G209" t="inlineStr">
        <is>
          <t>TANUM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45837</v>
      </c>
      <c r="E210" s="1" t="n">
        <v>46288</v>
      </c>
      <c r="F210" t="inlineStr">
        <is>
          <t>VÄSTRA GÖTALANDS LÄN</t>
        </is>
      </c>
      <c r="G210" t="inlineStr">
        <is>
          <t>TANUM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45872</v>
      </c>
      <c r="E211" s="1" t="n">
        <v>46288</v>
      </c>
      <c r="F211" t="inlineStr">
        <is>
          <t>VÄSTRA GÖTALANDS LÄN</t>
        </is>
      </c>
      <c r="G211" t="inlineStr">
        <is>
          <t>TANUM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45935</v>
      </c>
      <c r="E212" s="1" t="n">
        <v>46288</v>
      </c>
      <c r="F212" t="inlineStr">
        <is>
          <t>VÄSTRA GÖTALANDS LÄN</t>
        </is>
      </c>
      <c r="G212" t="inlineStr">
        <is>
          <t>TANUM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46288</v>
      </c>
      <c r="F213" t="inlineStr">
        <is>
          <t>VÄSTRA GÖTALANDS LÄN</t>
        </is>
      </c>
      <c r="G213" t="inlineStr">
        <is>
          <t>TANUM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46288</v>
      </c>
      <c r="F214" t="inlineStr">
        <is>
          <t>VÄSTRA GÖTALANDS LÄN</t>
        </is>
      </c>
      <c r="G214" t="inlineStr">
        <is>
          <t>TANUM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44585</v>
      </c>
      <c r="E215" s="1" t="n">
        <v>46288</v>
      </c>
      <c r="F215" t="inlineStr">
        <is>
          <t>VÄSTRA GÖTALANDS LÄN</t>
        </is>
      </c>
      <c r="G215" t="inlineStr">
        <is>
          <t>TANUM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46288</v>
      </c>
      <c r="F216" t="inlineStr">
        <is>
          <t>VÄSTRA GÖTALANDS LÄN</t>
        </is>
      </c>
      <c r="G216" t="inlineStr">
        <is>
          <t>TANUM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46288</v>
      </c>
      <c r="F217" t="inlineStr">
        <is>
          <t>VÄSTRA GÖTALANDS LÄN</t>
        </is>
      </c>
      <c r="G217" t="inlineStr">
        <is>
          <t>TANUM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45334</v>
      </c>
      <c r="E218" s="1" t="n">
        <v>46288</v>
      </c>
      <c r="F218" t="inlineStr">
        <is>
          <t>VÄSTRA GÖTALANDS LÄN</t>
        </is>
      </c>
      <c r="G218" t="inlineStr">
        <is>
          <t>TANUM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46288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Naturvårdsverket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45942</v>
      </c>
      <c r="E220" s="1" t="n">
        <v>46288</v>
      </c>
      <c r="F220" t="inlineStr">
        <is>
          <t>VÄSTRA GÖTALANDS LÄN</t>
        </is>
      </c>
      <c r="G220" t="inlineStr">
        <is>
          <t>TANUM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46288</v>
      </c>
      <c r="F221" t="inlineStr">
        <is>
          <t>VÄSTRA GÖTALANDS LÄN</t>
        </is>
      </c>
      <c r="G221" t="inlineStr">
        <is>
          <t>TANUM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53759-2021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44469</v>
      </c>
      <c r="E222" s="1" t="n">
        <v>46288</v>
      </c>
      <c r="F222" t="inlineStr">
        <is>
          <t>VÄSTRA GÖTALANDS LÄN</t>
        </is>
      </c>
      <c r="G222" t="inlineStr">
        <is>
          <t>TANUM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46288</v>
      </c>
      <c r="F223" t="inlineStr">
        <is>
          <t>VÄSTRA GÖTALANDS LÄN</t>
        </is>
      </c>
      <c r="G223" t="inlineStr">
        <is>
          <t>TANUM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46288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46288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Kyrkan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46288</v>
      </c>
      <c r="F226" t="inlineStr">
        <is>
          <t>VÄSTRA GÖTALANDS LÄN</t>
        </is>
      </c>
      <c r="G226" t="inlineStr">
        <is>
          <t>TANUM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46288</v>
      </c>
      <c r="F227" t="inlineStr">
        <is>
          <t>VÄSTRA GÖTALANDS LÄN</t>
        </is>
      </c>
      <c r="G227" t="inlineStr">
        <is>
          <t>TANUM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64997-2023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45286</v>
      </c>
      <c r="E228" s="1" t="n">
        <v>46288</v>
      </c>
      <c r="F228" t="inlineStr">
        <is>
          <t>VÄSTRA GÖTALANDS LÄN</t>
        </is>
      </c>
      <c r="G228" t="inlineStr">
        <is>
          <t>TANUM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45949</v>
      </c>
      <c r="E229" s="1" t="n">
        <v>46288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46288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46288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46288</v>
      </c>
      <c r="F232" t="inlineStr">
        <is>
          <t>VÄSTRA GÖTALANDS LÄN</t>
        </is>
      </c>
      <c r="G232" t="inlineStr">
        <is>
          <t>TANUM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46288</v>
      </c>
      <c r="F233" t="inlineStr">
        <is>
          <t>VÄSTRA GÖTALANDS LÄN</t>
        </is>
      </c>
      <c r="G233" t="inlineStr">
        <is>
          <t>TANUM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46288</v>
      </c>
      <c r="F234" t="inlineStr">
        <is>
          <t>VÄSTRA GÖTALANDS LÄN</t>
        </is>
      </c>
      <c r="G234" t="inlineStr">
        <is>
          <t>TANUM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46288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45958</v>
      </c>
      <c r="E236" s="1" t="n">
        <v>46288</v>
      </c>
      <c r="F236" t="inlineStr">
        <is>
          <t>VÄSTRA GÖTALANDS LÄN</t>
        </is>
      </c>
      <c r="G236" t="inlineStr">
        <is>
          <t>TANUM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46288</v>
      </c>
      <c r="F237" t="inlineStr">
        <is>
          <t>VÄSTRA GÖTALANDS LÄN</t>
        </is>
      </c>
      <c r="G237" t="inlineStr">
        <is>
          <t>TANUM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26624-2024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46288</v>
      </c>
      <c r="F238" t="inlineStr">
        <is>
          <t>VÄSTRA GÖTALANDS LÄN</t>
        </is>
      </c>
      <c r="G238" t="inlineStr">
        <is>
          <t>TANUM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45321</v>
      </c>
      <c r="E239" s="1" t="n">
        <v>46288</v>
      </c>
      <c r="F239" t="inlineStr">
        <is>
          <t>VÄSTRA GÖTALANDS LÄN</t>
        </is>
      </c>
      <c r="G239" t="inlineStr">
        <is>
          <t>TANUM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46288</v>
      </c>
      <c r="F240" t="inlineStr">
        <is>
          <t>VÄSTRA GÖTALANDS LÄN</t>
        </is>
      </c>
      <c r="G240" t="inlineStr">
        <is>
          <t>TANUM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46288</v>
      </c>
      <c r="F241" t="inlineStr">
        <is>
          <t>VÄSTRA GÖTALANDS LÄN</t>
        </is>
      </c>
      <c r="G241" t="inlineStr">
        <is>
          <t>TANUM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46288</v>
      </c>
      <c r="F242" t="inlineStr">
        <is>
          <t>VÄSTRA GÖTALANDS LÄN</t>
        </is>
      </c>
      <c r="G242" t="inlineStr">
        <is>
          <t>TANUM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46288</v>
      </c>
      <c r="F243" t="inlineStr">
        <is>
          <t>VÄSTRA GÖTALANDS LÄN</t>
        </is>
      </c>
      <c r="G243" t="inlineStr">
        <is>
          <t>TANUM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45174</v>
      </c>
      <c r="E244" s="1" t="n">
        <v>46288</v>
      </c>
      <c r="F244" t="inlineStr">
        <is>
          <t>VÄSTRA GÖTALANDS LÄN</t>
        </is>
      </c>
      <c r="G244" t="inlineStr">
        <is>
          <t>TANUM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46288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66945-2021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44522</v>
      </c>
      <c r="E246" s="1" t="n">
        <v>46288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46288</v>
      </c>
      <c r="F247" t="inlineStr">
        <is>
          <t>VÄSTRA GÖTALANDS LÄN</t>
        </is>
      </c>
      <c r="G247" t="inlineStr">
        <is>
          <t>TANUM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46288</v>
      </c>
      <c r="F248" t="inlineStr">
        <is>
          <t>VÄSTRA GÖTALANDS LÄN</t>
        </is>
      </c>
      <c r="G248" t="inlineStr">
        <is>
          <t>TANUM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46288</v>
      </c>
      <c r="F249" t="inlineStr">
        <is>
          <t>VÄSTRA GÖTALANDS LÄN</t>
        </is>
      </c>
      <c r="G249" t="inlineStr">
        <is>
          <t>TANUM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45026</v>
      </c>
      <c r="E250" s="1" t="n">
        <v>46288</v>
      </c>
      <c r="F250" t="inlineStr">
        <is>
          <t>VÄSTRA GÖTALANDS LÄN</t>
        </is>
      </c>
      <c r="G250" t="inlineStr">
        <is>
          <t>TANUM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46288</v>
      </c>
      <c r="F251" t="inlineStr">
        <is>
          <t>VÄSTRA GÖTALANDS LÄN</t>
        </is>
      </c>
      <c r="G251" t="inlineStr">
        <is>
          <t>TANUM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45987</v>
      </c>
      <c r="E252" s="1" t="n">
        <v>46288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44946</v>
      </c>
      <c r="E253" s="1" t="n">
        <v>46288</v>
      </c>
      <c r="F253" t="inlineStr">
        <is>
          <t>VÄSTRA GÖTALANDS LÄN</t>
        </is>
      </c>
      <c r="G253" t="inlineStr">
        <is>
          <t>TANUM</t>
        </is>
      </c>
      <c r="I253" t="n">
        <v>11.4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30322-2026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46207</v>
      </c>
      <c r="E254" s="1" t="n">
        <v>46288</v>
      </c>
      <c r="F254" t="inlineStr">
        <is>
          <t>VÄSTRA GÖTALANDS LÄN</t>
        </is>
      </c>
      <c r="G254" t="inlineStr">
        <is>
          <t>TANUM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46288</v>
      </c>
      <c r="F255" t="inlineStr">
        <is>
          <t>VÄSTRA GÖTALANDS LÄN</t>
        </is>
      </c>
      <c r="G255" t="inlineStr">
        <is>
          <t>TANUM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46288</v>
      </c>
      <c r="F256" t="inlineStr">
        <is>
          <t>VÄSTRA GÖTALANDS LÄN</t>
        </is>
      </c>
      <c r="G256" t="inlineStr">
        <is>
          <t>TANUM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45085</v>
      </c>
      <c r="E257" s="1" t="n">
        <v>46288</v>
      </c>
      <c r="F257" t="inlineStr">
        <is>
          <t>VÄSTRA GÖTALANDS LÄN</t>
        </is>
      </c>
      <c r="G257" t="inlineStr">
        <is>
          <t>TANUM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46288</v>
      </c>
      <c r="F258" t="inlineStr">
        <is>
          <t>VÄSTRA GÖTALANDS LÄN</t>
        </is>
      </c>
      <c r="G258" t="inlineStr">
        <is>
          <t>TANUM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46288</v>
      </c>
      <c r="F259" t="inlineStr">
        <is>
          <t>VÄSTRA GÖTALANDS LÄN</t>
        </is>
      </c>
      <c r="G259" t="inlineStr">
        <is>
          <t>TANUM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46288</v>
      </c>
      <c r="F260" t="inlineStr">
        <is>
          <t>VÄSTRA GÖTALANDS LÄN</t>
        </is>
      </c>
      <c r="G260" t="inlineStr">
        <is>
          <t>TANUM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45538</v>
      </c>
      <c r="E261" s="1" t="n">
        <v>46288</v>
      </c>
      <c r="F261" t="inlineStr">
        <is>
          <t>VÄSTRA GÖTALANDS LÄN</t>
        </is>
      </c>
      <c r="G261" t="inlineStr">
        <is>
          <t>TANUM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46175</v>
      </c>
      <c r="E262" s="1" t="n">
        <v>46288</v>
      </c>
      <c r="F262" t="inlineStr">
        <is>
          <t>VÄSTRA GÖTALANDS LÄN</t>
        </is>
      </c>
      <c r="G262" t="inlineStr">
        <is>
          <t>TANUM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45196</v>
      </c>
      <c r="E263" s="1" t="n">
        <v>46288</v>
      </c>
      <c r="F263" t="inlineStr">
        <is>
          <t>VÄSTRA GÖTALANDS LÄN</t>
        </is>
      </c>
      <c r="G263" t="inlineStr">
        <is>
          <t>TANUM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45739</v>
      </c>
      <c r="E264" s="1" t="n">
        <v>46288</v>
      </c>
      <c r="F264" t="inlineStr">
        <is>
          <t>VÄSTRA GÖTALANDS LÄN</t>
        </is>
      </c>
      <c r="G264" t="inlineStr">
        <is>
          <t>TANUM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63132-2023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46288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46176</v>
      </c>
      <c r="E266" s="1" t="n">
        <v>46288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44846</v>
      </c>
      <c r="E267" s="1" t="n">
        <v>46288</v>
      </c>
      <c r="F267" t="inlineStr">
        <is>
          <t>VÄSTRA GÖTALANDS LÄN</t>
        </is>
      </c>
      <c r="G267" t="inlineStr">
        <is>
          <t>TANUM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46288</v>
      </c>
      <c r="F268" t="inlineStr">
        <is>
          <t>VÄSTRA GÖTALANDS LÄN</t>
        </is>
      </c>
      <c r="G268" t="inlineStr">
        <is>
          <t>TANUM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46288</v>
      </c>
      <c r="F269" t="inlineStr">
        <is>
          <t>VÄSTRA GÖTALANDS LÄN</t>
        </is>
      </c>
      <c r="G269" t="inlineStr">
        <is>
          <t>TANUM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46288</v>
      </c>
      <c r="F270" t="inlineStr">
        <is>
          <t>VÄSTRA GÖTALANDS LÄN</t>
        </is>
      </c>
      <c r="G270" t="inlineStr">
        <is>
          <t>TANUM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46288</v>
      </c>
      <c r="F271" t="inlineStr">
        <is>
          <t>VÄSTRA GÖTALANDS LÄN</t>
        </is>
      </c>
      <c r="G271" t="inlineStr">
        <is>
          <t>TANUM</t>
        </is>
      </c>
      <c r="I271" t="n">
        <v>10.2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46288</v>
      </c>
      <c r="F272" t="inlineStr">
        <is>
          <t>VÄSTRA GÖTALANDS LÄN</t>
        </is>
      </c>
      <c r="G272" t="inlineStr">
        <is>
          <t>TANUM</t>
        </is>
      </c>
      <c r="I272" t="n">
        <v>11.6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45454</v>
      </c>
      <c r="E273" s="1" t="n">
        <v>46288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46288</v>
      </c>
      <c r="F274" t="inlineStr">
        <is>
          <t>VÄSTRA GÖTALANDS LÄN</t>
        </is>
      </c>
      <c r="G274" t="inlineStr">
        <is>
          <t>TANUM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45311</v>
      </c>
      <c r="E275" s="1" t="n">
        <v>46288</v>
      </c>
      <c r="F275" t="inlineStr">
        <is>
          <t>VÄSTRA GÖTALANDS LÄN</t>
        </is>
      </c>
      <c r="G275" t="inlineStr">
        <is>
          <t>TANUM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45698</v>
      </c>
      <c r="E276" s="1" t="n">
        <v>46288</v>
      </c>
      <c r="F276" t="inlineStr">
        <is>
          <t>VÄSTRA GÖTALANDS LÄN</t>
        </is>
      </c>
      <c r="G276" t="inlineStr">
        <is>
          <t>TANUM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46288</v>
      </c>
      <c r="F277" t="inlineStr">
        <is>
          <t>VÄSTRA GÖTALANDS LÄN</t>
        </is>
      </c>
      <c r="G277" t="inlineStr">
        <is>
          <t>TANUM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46288</v>
      </c>
      <c r="F278" t="inlineStr">
        <is>
          <t>VÄSTRA GÖTALANDS LÄN</t>
        </is>
      </c>
      <c r="G278" t="inlineStr">
        <is>
          <t>TANUM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46288</v>
      </c>
      <c r="F279" t="inlineStr">
        <is>
          <t>VÄSTRA GÖTALANDS LÄN</t>
        </is>
      </c>
      <c r="G279" t="inlineStr">
        <is>
          <t>TANUM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46288</v>
      </c>
      <c r="F280" t="inlineStr">
        <is>
          <t>VÄSTRA GÖTALANDS LÄN</t>
        </is>
      </c>
      <c r="G280" t="inlineStr">
        <is>
          <t>TANUM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44807</v>
      </c>
      <c r="E281" s="1" t="n">
        <v>46288</v>
      </c>
      <c r="F281" t="inlineStr">
        <is>
          <t>VÄSTRA GÖTALANDS LÄN</t>
        </is>
      </c>
      <c r="G281" t="inlineStr">
        <is>
          <t>TANUM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46288</v>
      </c>
      <c r="F282" t="inlineStr">
        <is>
          <t>VÄSTRA GÖTALANDS LÄN</t>
        </is>
      </c>
      <c r="G282" t="inlineStr">
        <is>
          <t>TANUM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46288</v>
      </c>
      <c r="F283" t="inlineStr">
        <is>
          <t>VÄSTRA GÖTALANDS LÄN</t>
        </is>
      </c>
      <c r="G283" t="inlineStr">
        <is>
          <t>TANUM</t>
        </is>
      </c>
      <c r="H283" t="inlineStr">
        <is>
          <t>Kommuner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44944</v>
      </c>
      <c r="E284" s="1" t="n">
        <v>46288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46288</v>
      </c>
      <c r="F285" t="inlineStr">
        <is>
          <t>VÄSTRA GÖTALANDS LÄN</t>
        </is>
      </c>
      <c r="G285" t="inlineStr">
        <is>
          <t>TANUM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45756</v>
      </c>
      <c r="E286" s="1" t="n">
        <v>46288</v>
      </c>
      <c r="F286" t="inlineStr">
        <is>
          <t>VÄSTRA GÖTALANDS LÄN</t>
        </is>
      </c>
      <c r="G286" t="inlineStr">
        <is>
          <t>TANUM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46288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45303</v>
      </c>
      <c r="E288" s="1" t="n">
        <v>46288</v>
      </c>
      <c r="F288" t="inlineStr">
        <is>
          <t>VÄSTRA GÖTALANDS LÄN</t>
        </is>
      </c>
      <c r="G288" t="inlineStr">
        <is>
          <t>TANUM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45595</v>
      </c>
      <c r="E289" s="1" t="n">
        <v>46288</v>
      </c>
      <c r="F289" t="inlineStr">
        <is>
          <t>VÄSTRA GÖTALANDS LÄN</t>
        </is>
      </c>
      <c r="G289" t="inlineStr">
        <is>
          <t>TANUM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46288</v>
      </c>
      <c r="F290" t="inlineStr">
        <is>
          <t>VÄSTRA GÖTALANDS LÄN</t>
        </is>
      </c>
      <c r="G290" t="inlineStr">
        <is>
          <t>TANUM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46288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46288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46288</v>
      </c>
      <c r="F293" t="inlineStr">
        <is>
          <t>VÄSTRA GÖTALANDS LÄN</t>
        </is>
      </c>
      <c r="G293" t="inlineStr">
        <is>
          <t>TANUM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46288</v>
      </c>
      <c r="F294" t="inlineStr">
        <is>
          <t>VÄSTRA GÖTALANDS LÄN</t>
        </is>
      </c>
      <c r="G294" t="inlineStr">
        <is>
          <t>TANUM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46039</v>
      </c>
      <c r="E295" s="1" t="n">
        <v>46288</v>
      </c>
      <c r="F295" t="inlineStr">
        <is>
          <t>VÄSTRA GÖTALANDS LÄN</t>
        </is>
      </c>
      <c r="G295" t="inlineStr">
        <is>
          <t>TANUM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46288</v>
      </c>
      <c r="F296" t="inlineStr">
        <is>
          <t>VÄSTRA GÖTALANDS LÄN</t>
        </is>
      </c>
      <c r="G296" t="inlineStr">
        <is>
          <t>TANUM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46288</v>
      </c>
      <c r="F297" t="inlineStr">
        <is>
          <t>VÄSTRA GÖTALANDS LÄN</t>
        </is>
      </c>
      <c r="G297" t="inlineStr">
        <is>
          <t>TANUM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46288</v>
      </c>
      <c r="F298" t="inlineStr">
        <is>
          <t>VÄSTRA GÖTALANDS LÄN</t>
        </is>
      </c>
      <c r="G298" t="inlineStr">
        <is>
          <t>TANUM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46288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46288</v>
      </c>
      <c r="F300" t="inlineStr">
        <is>
          <t>VÄSTRA GÖTALANDS LÄN</t>
        </is>
      </c>
      <c r="G300" t="inlineStr">
        <is>
          <t>TANUM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70979-2021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44538</v>
      </c>
      <c r="E301" s="1" t="n">
        <v>46288</v>
      </c>
      <c r="F301" t="inlineStr">
        <is>
          <t>VÄSTRA GÖTALANDS LÄN</t>
        </is>
      </c>
      <c r="G301" t="inlineStr">
        <is>
          <t>TANUM</t>
        </is>
      </c>
      <c r="I301" t="n">
        <v>19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46288</v>
      </c>
      <c r="F302" t="inlineStr">
        <is>
          <t>VÄSTRA GÖTALANDS LÄN</t>
        </is>
      </c>
      <c r="G302" t="inlineStr">
        <is>
          <t>TANUM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46288</v>
      </c>
      <c r="F303" t="inlineStr">
        <is>
          <t>VÄSTRA GÖTALANDS LÄN</t>
        </is>
      </c>
      <c r="G303" t="inlineStr">
        <is>
          <t>TANUM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46288</v>
      </c>
      <c r="F304" t="inlineStr">
        <is>
          <t>VÄSTRA GÖTALANDS LÄN</t>
        </is>
      </c>
      <c r="G304" t="inlineStr">
        <is>
          <t>TANUM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46288</v>
      </c>
      <c r="F305" t="inlineStr">
        <is>
          <t>VÄSTRA GÖTALANDS LÄN</t>
        </is>
      </c>
      <c r="G305" t="inlineStr">
        <is>
          <t>TANUM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46288</v>
      </c>
      <c r="F306" t="inlineStr">
        <is>
          <t>VÄSTRA GÖTALANDS LÄN</t>
        </is>
      </c>
      <c r="G306" t="inlineStr">
        <is>
          <t>TANUM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46288</v>
      </c>
      <c r="F307" t="inlineStr">
        <is>
          <t>VÄSTRA GÖTALANDS LÄN</t>
        </is>
      </c>
      <c r="G307" t="inlineStr">
        <is>
          <t>TANUM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46288</v>
      </c>
      <c r="F308" t="inlineStr">
        <is>
          <t>VÄSTRA GÖTALANDS LÄN</t>
        </is>
      </c>
      <c r="G308" t="inlineStr">
        <is>
          <t>TANUM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46288</v>
      </c>
      <c r="F309" t="inlineStr">
        <is>
          <t>VÄSTRA GÖTALANDS LÄN</t>
        </is>
      </c>
      <c r="G309" t="inlineStr">
        <is>
          <t>TANUM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46288</v>
      </c>
      <c r="F310" t="inlineStr">
        <is>
          <t>VÄSTRA GÖTALANDS LÄN</t>
        </is>
      </c>
      <c r="G310" t="inlineStr">
        <is>
          <t>TANUM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46288</v>
      </c>
      <c r="F311" t="inlineStr">
        <is>
          <t>VÄSTRA GÖTALANDS LÄN</t>
        </is>
      </c>
      <c r="G311" t="inlineStr">
        <is>
          <t>TANUM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46288</v>
      </c>
      <c r="F312" t="inlineStr">
        <is>
          <t>VÄSTRA GÖTALANDS LÄN</t>
        </is>
      </c>
      <c r="G312" t="inlineStr">
        <is>
          <t>TANUM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46288</v>
      </c>
      <c r="F313" t="inlineStr">
        <is>
          <t>VÄSTRA GÖTALANDS LÄN</t>
        </is>
      </c>
      <c r="G313" t="inlineStr">
        <is>
          <t>TANUM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45036</v>
      </c>
      <c r="E314" s="1" t="n">
        <v>46288</v>
      </c>
      <c r="F314" t="inlineStr">
        <is>
          <t>VÄSTRA GÖTALANDS LÄN</t>
        </is>
      </c>
      <c r="G314" t="inlineStr">
        <is>
          <t>TANUM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64529-2023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45281</v>
      </c>
      <c r="E315" s="1" t="n">
        <v>46288</v>
      </c>
      <c r="F315" t="inlineStr">
        <is>
          <t>VÄSTRA GÖTALANDS LÄN</t>
        </is>
      </c>
      <c r="G315" t="inlineStr">
        <is>
          <t>TANUM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46288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46288</v>
      </c>
      <c r="F317" t="inlineStr">
        <is>
          <t>VÄSTRA GÖTALANDS LÄN</t>
        </is>
      </c>
      <c r="G317" t="inlineStr">
        <is>
          <t>TANUM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45599</v>
      </c>
      <c r="E318" s="1" t="n">
        <v>46288</v>
      </c>
      <c r="F318" t="inlineStr">
        <is>
          <t>VÄSTRA GÖTALANDS LÄN</t>
        </is>
      </c>
      <c r="G318" t="inlineStr">
        <is>
          <t>TANUM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46288</v>
      </c>
      <c r="F319" t="inlineStr">
        <is>
          <t>VÄSTRA GÖTALANDS LÄN</t>
        </is>
      </c>
      <c r="G319" t="inlineStr">
        <is>
          <t>TANUM</t>
        </is>
      </c>
      <c r="H319" t="inlineStr">
        <is>
          <t>Kyrkan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46288</v>
      </c>
      <c r="F320" t="inlineStr">
        <is>
          <t>VÄSTRA GÖTALANDS LÄN</t>
        </is>
      </c>
      <c r="G320" t="inlineStr">
        <is>
          <t>TANUM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46288</v>
      </c>
      <c r="F321" t="inlineStr">
        <is>
          <t>VÄSTRA GÖTALANDS LÄN</t>
        </is>
      </c>
      <c r="G321" t="inlineStr">
        <is>
          <t>TANUM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45190</v>
      </c>
      <c r="E322" s="1" t="n">
        <v>46288</v>
      </c>
      <c r="F322" t="inlineStr">
        <is>
          <t>VÄSTRA GÖTALANDS LÄN</t>
        </is>
      </c>
      <c r="G322" t="inlineStr">
        <is>
          <t>TANUM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45673</v>
      </c>
      <c r="E323" s="1" t="n">
        <v>46288</v>
      </c>
      <c r="F323" t="inlineStr">
        <is>
          <t>VÄSTRA GÖTALANDS LÄN</t>
        </is>
      </c>
      <c r="G323" t="inlineStr">
        <is>
          <t>TANUM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45237</v>
      </c>
      <c r="E324" s="1" t="n">
        <v>46288</v>
      </c>
      <c r="F324" t="inlineStr">
        <is>
          <t>VÄSTRA GÖTALANDS LÄN</t>
        </is>
      </c>
      <c r="G324" t="inlineStr">
        <is>
          <t>TANUM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44929</v>
      </c>
      <c r="E325" s="1" t="n">
        <v>46288</v>
      </c>
      <c r="F325" t="inlineStr">
        <is>
          <t>VÄSTRA GÖTALANDS LÄN</t>
        </is>
      </c>
      <c r="G325" t="inlineStr">
        <is>
          <t>TANUM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45015</v>
      </c>
      <c r="E326" s="1" t="n">
        <v>46288</v>
      </c>
      <c r="F326" t="inlineStr">
        <is>
          <t>VÄSTRA GÖTALANDS LÄN</t>
        </is>
      </c>
      <c r="G326" t="inlineStr">
        <is>
          <t>TANUM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45655</v>
      </c>
      <c r="E327" s="1" t="n">
        <v>46288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46288</v>
      </c>
      <c r="F328" t="inlineStr">
        <is>
          <t>VÄSTRA GÖTALANDS LÄN</t>
        </is>
      </c>
      <c r="G328" t="inlineStr">
        <is>
          <t>TANUM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46084</v>
      </c>
      <c r="E329" s="1" t="n">
        <v>46288</v>
      </c>
      <c r="F329" t="inlineStr">
        <is>
          <t>VÄSTRA GÖTALANDS LÄN</t>
        </is>
      </c>
      <c r="G329" t="inlineStr">
        <is>
          <t>TANUM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46288</v>
      </c>
      <c r="F330" t="inlineStr">
        <is>
          <t>VÄSTRA GÖTALANDS LÄN</t>
        </is>
      </c>
      <c r="G330" t="inlineStr">
        <is>
          <t>TANUM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46083</v>
      </c>
      <c r="E331" s="1" t="n">
        <v>46288</v>
      </c>
      <c r="F331" t="inlineStr">
        <is>
          <t>VÄSTRA GÖTALANDS LÄN</t>
        </is>
      </c>
      <c r="G331" t="inlineStr">
        <is>
          <t>TANUM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46288</v>
      </c>
      <c r="F332" t="inlineStr">
        <is>
          <t>VÄSTRA GÖTALANDS LÄN</t>
        </is>
      </c>
      <c r="G332" t="inlineStr">
        <is>
          <t>TANUM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11809-2026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46085</v>
      </c>
      <c r="E333" s="1" t="n">
        <v>46288</v>
      </c>
      <c r="F333" t="inlineStr">
        <is>
          <t>VÄSTRA GÖTALANDS LÄN</t>
        </is>
      </c>
      <c r="G333" t="inlineStr">
        <is>
          <t>TANUM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45761</v>
      </c>
      <c r="E334" s="1" t="n">
        <v>46288</v>
      </c>
      <c r="F334" t="inlineStr">
        <is>
          <t>VÄSTRA GÖTALANDS LÄN</t>
        </is>
      </c>
      <c r="G334" t="inlineStr">
        <is>
          <t>TANUM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46288</v>
      </c>
      <c r="F335" t="inlineStr">
        <is>
          <t>VÄSTRA GÖTALANDS LÄN</t>
        </is>
      </c>
      <c r="G335" t="inlineStr">
        <is>
          <t>TANUM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62500-2023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46288</v>
      </c>
      <c r="F336" t="inlineStr">
        <is>
          <t>VÄSTRA GÖTALANDS LÄN</t>
        </is>
      </c>
      <c r="G336" t="inlineStr">
        <is>
          <t>TANUM</t>
        </is>
      </c>
      <c r="H336" t="inlineStr">
        <is>
          <t>Kyrkan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23228-2022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44719</v>
      </c>
      <c r="E337" s="1" t="n">
        <v>46288</v>
      </c>
      <c r="F337" t="inlineStr">
        <is>
          <t>VÄSTRA GÖTALANDS LÄN</t>
        </is>
      </c>
      <c r="G337" t="inlineStr">
        <is>
          <t>TANUM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45387</v>
      </c>
      <c r="E338" s="1" t="n">
        <v>46288</v>
      </c>
      <c r="F338" t="inlineStr">
        <is>
          <t>VÄSTRA GÖTALANDS LÄN</t>
        </is>
      </c>
      <c r="G338" t="inlineStr">
        <is>
          <t>TANUM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46288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46100</v>
      </c>
      <c r="E340" s="1" t="n">
        <v>46288</v>
      </c>
      <c r="F340" t="inlineStr">
        <is>
          <t>VÄSTRA GÖTALANDS LÄN</t>
        </is>
      </c>
      <c r="G340" t="inlineStr">
        <is>
          <t>TANUM</t>
        </is>
      </c>
      <c r="H340" t="inlineStr">
        <is>
          <t>Sveaskog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46288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46288</v>
      </c>
      <c r="F342" t="inlineStr">
        <is>
          <t>VÄSTRA GÖTALANDS LÄN</t>
        </is>
      </c>
      <c r="G342" t="inlineStr">
        <is>
          <t>TANUM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46288</v>
      </c>
      <c r="F343" t="inlineStr">
        <is>
          <t>VÄSTRA GÖTALANDS LÄN</t>
        </is>
      </c>
      <c r="G343" t="inlineStr">
        <is>
          <t>TANUM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24100-2022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44725</v>
      </c>
      <c r="E344" s="1" t="n">
        <v>46288</v>
      </c>
      <c r="F344" t="inlineStr">
        <is>
          <t>VÄSTRA GÖTALANDS LÄN</t>
        </is>
      </c>
      <c r="G344" t="inlineStr">
        <is>
          <t>TANUM</t>
        </is>
      </c>
      <c r="I344" t="n">
        <v>10.7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46204</v>
      </c>
      <c r="E345" s="1" t="n">
        <v>46288</v>
      </c>
      <c r="F345" t="inlineStr">
        <is>
          <t>VÄSTRA GÖTALANDS LÄN</t>
        </is>
      </c>
      <c r="G345" t="inlineStr">
        <is>
          <t>TANUM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44725</v>
      </c>
      <c r="E346" s="1" t="n">
        <v>46288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46288</v>
      </c>
      <c r="F347" t="inlineStr">
        <is>
          <t>VÄSTRA GÖTALANDS LÄN</t>
        </is>
      </c>
      <c r="G347" t="inlineStr">
        <is>
          <t>TANUM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72223-2021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44544</v>
      </c>
      <c r="E348" s="1" t="n">
        <v>46288</v>
      </c>
      <c r="F348" t="inlineStr">
        <is>
          <t>VÄSTRA GÖTALANDS LÄN</t>
        </is>
      </c>
      <c r="G348" t="inlineStr">
        <is>
          <t>TANUM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33400-2026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46247</v>
      </c>
      <c r="E349" s="1" t="n">
        <v>46288</v>
      </c>
      <c r="F349" t="inlineStr">
        <is>
          <t>VÄSTRA GÖTALANDS LÄN</t>
        </is>
      </c>
      <c r="G349" t="inlineStr">
        <is>
          <t>TANUM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44969</v>
      </c>
      <c r="E350" s="1" t="n">
        <v>46288</v>
      </c>
      <c r="F350" t="inlineStr">
        <is>
          <t>VÄSTRA GÖTALANDS LÄN</t>
        </is>
      </c>
      <c r="G350" t="inlineStr">
        <is>
          <t>TANUM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46288</v>
      </c>
      <c r="F351" t="inlineStr">
        <is>
          <t>VÄSTRA GÖTALANDS LÄN</t>
        </is>
      </c>
      <c r="G351" t="inlineStr">
        <is>
          <t>TANUM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30036-2026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46288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46288</v>
      </c>
      <c r="F353" t="inlineStr">
        <is>
          <t>VÄSTRA GÖTALANDS LÄN</t>
        </is>
      </c>
      <c r="G353" t="inlineStr">
        <is>
          <t>TANUM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46288</v>
      </c>
      <c r="F354" t="inlineStr">
        <is>
          <t>VÄSTRA GÖTALANDS LÄN</t>
        </is>
      </c>
      <c r="G354" t="inlineStr">
        <is>
          <t>TANUM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45374</v>
      </c>
      <c r="E355" s="1" t="n">
        <v>46288</v>
      </c>
      <c r="F355" t="inlineStr">
        <is>
          <t>VÄSTRA GÖTALANDS LÄN</t>
        </is>
      </c>
      <c r="G355" t="inlineStr">
        <is>
          <t>TANUM</t>
        </is>
      </c>
      <c r="I355" t="n">
        <v>12.4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46288</v>
      </c>
      <c r="F356" t="inlineStr">
        <is>
          <t>VÄSTRA GÖTALANDS LÄN</t>
        </is>
      </c>
      <c r="G356" t="inlineStr">
        <is>
          <t>TANUM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45030</v>
      </c>
      <c r="E357" s="1" t="n">
        <v>46288</v>
      </c>
      <c r="F357" t="inlineStr">
        <is>
          <t>VÄSTRA GÖTALANDS LÄN</t>
        </is>
      </c>
      <c r="G357" t="inlineStr">
        <is>
          <t>TANUM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63198-2025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46288</v>
      </c>
      <c r="F358" t="inlineStr">
        <is>
          <t>VÄSTRA GÖTALANDS LÄN</t>
        </is>
      </c>
      <c r="G358" t="inlineStr">
        <is>
          <t>TANUM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46288</v>
      </c>
      <c r="F359" t="inlineStr">
        <is>
          <t>VÄSTRA GÖTALANDS LÄN</t>
        </is>
      </c>
      <c r="G359" t="inlineStr">
        <is>
          <t>TANUM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45102</v>
      </c>
      <c r="E360" s="1" t="n">
        <v>46288</v>
      </c>
      <c r="F360" t="inlineStr">
        <is>
          <t>VÄSTRA GÖTALANDS LÄN</t>
        </is>
      </c>
      <c r="G360" t="inlineStr">
        <is>
          <t>TANUM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45023</v>
      </c>
      <c r="E361" s="1" t="n">
        <v>46288</v>
      </c>
      <c r="F361" t="inlineStr">
        <is>
          <t>VÄSTRA GÖTALANDS LÄN</t>
        </is>
      </c>
      <c r="G361" t="inlineStr">
        <is>
          <t>TANUM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46288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44573</v>
      </c>
      <c r="E363" s="1" t="n">
        <v>46288</v>
      </c>
      <c r="F363" t="inlineStr">
        <is>
          <t>VÄSTRA GÖTALANDS LÄN</t>
        </is>
      </c>
      <c r="G363" t="inlineStr">
        <is>
          <t>TANUM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46288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46288</v>
      </c>
      <c r="F365" t="inlineStr">
        <is>
          <t>VÄSTRA GÖTALANDS LÄN</t>
        </is>
      </c>
      <c r="G365" t="inlineStr">
        <is>
          <t>TANUM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45026</v>
      </c>
      <c r="E366" s="1" t="n">
        <v>46288</v>
      </c>
      <c r="F366" t="inlineStr">
        <is>
          <t>VÄSTRA GÖTALANDS LÄN</t>
        </is>
      </c>
      <c r="G366" t="inlineStr">
        <is>
          <t>TANUM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46288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46288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34101-2026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46288</v>
      </c>
      <c r="F369" t="inlineStr">
        <is>
          <t>VÄSTRA GÖTALANDS LÄN</t>
        </is>
      </c>
      <c r="G369" t="inlineStr">
        <is>
          <t>TANUM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46288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46288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46288</v>
      </c>
      <c r="F372" t="inlineStr">
        <is>
          <t>VÄSTRA GÖTALANDS LÄN</t>
        </is>
      </c>
      <c r="G372" t="inlineStr">
        <is>
          <t>TANUM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15353-2024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45400</v>
      </c>
      <c r="E373" s="1" t="n">
        <v>46288</v>
      </c>
      <c r="F373" t="inlineStr">
        <is>
          <t>VÄSTRA GÖTALANDS LÄN</t>
        </is>
      </c>
      <c r="G373" t="inlineStr">
        <is>
          <t>TANUM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46288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46288</v>
      </c>
      <c r="F375" t="inlineStr">
        <is>
          <t>VÄSTRA GÖTALANDS LÄN</t>
        </is>
      </c>
      <c r="G375" t="inlineStr">
        <is>
          <t>TANUM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44872</v>
      </c>
      <c r="E376" s="1" t="n">
        <v>46288</v>
      </c>
      <c r="F376" t="inlineStr">
        <is>
          <t>VÄSTRA GÖTALANDS LÄN</t>
        </is>
      </c>
      <c r="G376" t="inlineStr">
        <is>
          <t>TANUM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45075</v>
      </c>
      <c r="E377" s="1" t="n">
        <v>46288</v>
      </c>
      <c r="F377" t="inlineStr">
        <is>
          <t>VÄSTRA GÖTALANDS LÄN</t>
        </is>
      </c>
      <c r="G377" t="inlineStr">
        <is>
          <t>TANUM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44832</v>
      </c>
      <c r="E378" s="1" t="n">
        <v>46288</v>
      </c>
      <c r="F378" t="inlineStr">
        <is>
          <t>VÄSTRA GÖTALANDS LÄN</t>
        </is>
      </c>
      <c r="G378" t="inlineStr">
        <is>
          <t>TANUM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46288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46288</v>
      </c>
      <c r="F380" t="inlineStr">
        <is>
          <t>VÄSTRA GÖTALANDS LÄN</t>
        </is>
      </c>
      <c r="G380" t="inlineStr">
        <is>
          <t>TANUM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34848-2026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46258</v>
      </c>
      <c r="E381" s="1" t="n">
        <v>46288</v>
      </c>
      <c r="F381" t="inlineStr">
        <is>
          <t>VÄSTRA GÖTALANDS LÄN</t>
        </is>
      </c>
      <c r="G381" t="inlineStr">
        <is>
          <t>TANUM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45384</v>
      </c>
      <c r="E382" s="1" t="n">
        <v>46288</v>
      </c>
      <c r="F382" t="inlineStr">
        <is>
          <t>VÄSTRA GÖTALANDS LÄN</t>
        </is>
      </c>
      <c r="G382" t="inlineStr">
        <is>
          <t>TANUM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45272</v>
      </c>
      <c r="E383" s="1" t="n">
        <v>46288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46288</v>
      </c>
      <c r="F384" t="inlineStr">
        <is>
          <t>VÄSTRA GÖTALANDS LÄN</t>
        </is>
      </c>
      <c r="G384" t="inlineStr">
        <is>
          <t>TANUM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46288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Naturvårdsverket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46288</v>
      </c>
      <c r="F386" t="inlineStr">
        <is>
          <t>VÄSTRA GÖTALANDS LÄN</t>
        </is>
      </c>
      <c r="G386" t="inlineStr">
        <is>
          <t>TANUM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46288</v>
      </c>
      <c r="F387" t="inlineStr">
        <is>
          <t>VÄSTRA GÖTALANDS LÄN</t>
        </is>
      </c>
      <c r="G387" t="inlineStr">
        <is>
          <t>TANUM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44591</v>
      </c>
      <c r="E388" s="1" t="n">
        <v>46288</v>
      </c>
      <c r="F388" t="inlineStr">
        <is>
          <t>VÄSTRA GÖTALANDS LÄN</t>
        </is>
      </c>
      <c r="G388" t="inlineStr">
        <is>
          <t>TANUM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46288</v>
      </c>
      <c r="F389" t="inlineStr">
        <is>
          <t>VÄSTRA GÖTALANDS LÄN</t>
        </is>
      </c>
      <c r="G389" t="inlineStr">
        <is>
          <t>TANUM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35437-2026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46288</v>
      </c>
      <c r="F390" t="inlineStr">
        <is>
          <t>VÄSTRA GÖTALANDS LÄN</t>
        </is>
      </c>
      <c r="G390" t="inlineStr">
        <is>
          <t>TANUM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46288</v>
      </c>
      <c r="F391" t="inlineStr">
        <is>
          <t>VÄSTRA GÖTALANDS LÄN</t>
        </is>
      </c>
      <c r="G391" t="inlineStr">
        <is>
          <t>TANUM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46267</v>
      </c>
      <c r="E392" s="1" t="n">
        <v>46288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46288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46288</v>
      </c>
      <c r="F394" t="inlineStr">
        <is>
          <t>VÄSTRA GÖTALANDS LÄN</t>
        </is>
      </c>
      <c r="G394" t="inlineStr">
        <is>
          <t>TANUM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46288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45659</v>
      </c>
      <c r="E396" s="1" t="n">
        <v>46288</v>
      </c>
      <c r="F396" t="inlineStr">
        <is>
          <t>VÄSTRA GÖTALANDS LÄN</t>
        </is>
      </c>
      <c r="G396" t="inlineStr">
        <is>
          <t>TANUM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39184-2022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44817</v>
      </c>
      <c r="E397" s="1" t="n">
        <v>46288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46231</v>
      </c>
      <c r="E398" s="1" t="n">
        <v>46288</v>
      </c>
      <c r="F398" t="inlineStr">
        <is>
          <t>VÄSTRA GÖTALANDS LÄN</t>
        </is>
      </c>
      <c r="G398" t="inlineStr">
        <is>
          <t>TANUM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31968-2026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46231</v>
      </c>
      <c r="E399" s="1" t="n">
        <v>46288</v>
      </c>
      <c r="F399" t="inlineStr">
        <is>
          <t>VÄSTRA GÖTALANDS LÄN</t>
        </is>
      </c>
      <c r="G399" t="inlineStr">
        <is>
          <t>TANUM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46288</v>
      </c>
      <c r="F400" t="inlineStr">
        <is>
          <t>VÄSTRA GÖTALANDS LÄN</t>
        </is>
      </c>
      <c r="G400" t="inlineStr">
        <is>
          <t>TANUM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46273</v>
      </c>
      <c r="E401" s="1" t="n">
        <v>46288</v>
      </c>
      <c r="F401" t="inlineStr">
        <is>
          <t>VÄSTRA GÖTALANDS LÄN</t>
        </is>
      </c>
      <c r="G401" t="inlineStr">
        <is>
          <t>TANUM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44890</v>
      </c>
      <c r="E402" s="1" t="n">
        <v>46288</v>
      </c>
      <c r="F402" t="inlineStr">
        <is>
          <t>VÄSTRA GÖTALANDS LÄN</t>
        </is>
      </c>
      <c r="G402" t="inlineStr">
        <is>
          <t>TANUM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46288</v>
      </c>
      <c r="F403" t="inlineStr">
        <is>
          <t>VÄSTRA GÖTALANDS LÄN</t>
        </is>
      </c>
      <c r="G403" t="inlineStr">
        <is>
          <t>TANUM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46288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46272</v>
      </c>
      <c r="E405" s="1" t="n">
        <v>46288</v>
      </c>
      <c r="F405" t="inlineStr">
        <is>
          <t>VÄSTRA GÖTALANDS LÄN</t>
        </is>
      </c>
      <c r="G405" t="inlineStr">
        <is>
          <t>TANUM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46272</v>
      </c>
      <c r="E406" s="1" t="n">
        <v>46288</v>
      </c>
      <c r="F406" t="inlineStr">
        <is>
          <t>VÄSTRA GÖTALANDS LÄN</t>
        </is>
      </c>
      <c r="G406" t="inlineStr">
        <is>
          <t>TANUM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46272</v>
      </c>
      <c r="E407" s="1" t="n">
        <v>46288</v>
      </c>
      <c r="F407" t="inlineStr">
        <is>
          <t>VÄSTRA GÖTALANDS LÄN</t>
        </is>
      </c>
      <c r="G407" t="inlineStr">
        <is>
          <t>TANUM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46288</v>
      </c>
      <c r="F408" t="inlineStr">
        <is>
          <t>VÄSTRA GÖTALANDS LÄN</t>
        </is>
      </c>
      <c r="G408" t="inlineStr">
        <is>
          <t>TANUM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49687-2024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45596</v>
      </c>
      <c r="E409" s="1" t="n">
        <v>46288</v>
      </c>
      <c r="F409" t="inlineStr">
        <is>
          <t>VÄSTRA GÖTALANDS LÄN</t>
        </is>
      </c>
      <c r="G409" t="inlineStr">
        <is>
          <t>TANUM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46288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45450</v>
      </c>
      <c r="E411" s="1" t="n">
        <v>46288</v>
      </c>
      <c r="F411" t="inlineStr">
        <is>
          <t>VÄSTRA GÖTALANDS LÄN</t>
        </is>
      </c>
      <c r="G411" t="inlineStr">
        <is>
          <t>TANUM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44889-2022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46288</v>
      </c>
      <c r="F412" t="inlineStr">
        <is>
          <t>VÄSTRA GÖTALANDS LÄN</t>
        </is>
      </c>
      <c r="G412" t="inlineStr">
        <is>
          <t>TANUM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46276</v>
      </c>
      <c r="E413" s="1" t="n">
        <v>46288</v>
      </c>
      <c r="F413" t="inlineStr">
        <is>
          <t>VÄSTRA GÖTALANDS LÄN</t>
        </is>
      </c>
      <c r="G413" t="inlineStr">
        <is>
          <t>TANUM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36949-2024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46288</v>
      </c>
      <c r="F414" t="inlineStr">
        <is>
          <t>VÄSTRA GÖTALANDS LÄN</t>
        </is>
      </c>
      <c r="G414" t="inlineStr">
        <is>
          <t>TANUM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45231</v>
      </c>
      <c r="E415" s="1" t="n">
        <v>46288</v>
      </c>
      <c r="F415" t="inlineStr">
        <is>
          <t>VÄSTRA GÖTALANDS LÄN</t>
        </is>
      </c>
      <c r="G415" t="inlineStr">
        <is>
          <t>TANUM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45392</v>
      </c>
      <c r="E416" s="1" t="n">
        <v>46288</v>
      </c>
      <c r="F416" t="inlineStr">
        <is>
          <t>VÄSTRA GÖTALANDS LÄN</t>
        </is>
      </c>
      <c r="G416" t="inlineStr">
        <is>
          <t>TANUM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46276</v>
      </c>
      <c r="E417" s="1" t="n">
        <v>46288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45155</v>
      </c>
      <c r="E418" s="1" t="n">
        <v>46288</v>
      </c>
      <c r="F418" t="inlineStr">
        <is>
          <t>VÄSTRA GÖTALANDS LÄN</t>
        </is>
      </c>
      <c r="G418" t="inlineStr">
        <is>
          <t>TANUM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21751-2023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46288</v>
      </c>
      <c r="F419" t="inlineStr">
        <is>
          <t>VÄSTRA GÖTALANDS LÄN</t>
        </is>
      </c>
      <c r="G419" t="inlineStr">
        <is>
          <t>TANUM</t>
        </is>
      </c>
      <c r="H419" t="inlineStr">
        <is>
          <t>Kyrkan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46288</v>
      </c>
      <c r="F420" t="inlineStr">
        <is>
          <t>VÄSTRA GÖTALANDS LÄN</t>
        </is>
      </c>
      <c r="G420" t="inlineStr">
        <is>
          <t>TANUM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46288</v>
      </c>
      <c r="F421" t="inlineStr">
        <is>
          <t>VÄSTRA GÖTALANDS LÄN</t>
        </is>
      </c>
      <c r="G421" t="inlineStr">
        <is>
          <t>TANUM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46288</v>
      </c>
      <c r="F422" t="inlineStr">
        <is>
          <t>VÄSTRA GÖTALANDS LÄN</t>
        </is>
      </c>
      <c r="G422" t="inlineStr">
        <is>
          <t>TANUM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20190-2022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44698</v>
      </c>
      <c r="E423" s="1" t="n">
        <v>46288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46288</v>
      </c>
      <c r="F424" t="inlineStr">
        <is>
          <t>VÄSTRA GÖTALANDS LÄN</t>
        </is>
      </c>
      <c r="G424" t="inlineStr">
        <is>
          <t>TANUM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46288</v>
      </c>
      <c r="F425" t="inlineStr">
        <is>
          <t>VÄSTRA GÖTALANDS LÄN</t>
        </is>
      </c>
      <c r="G425" t="inlineStr">
        <is>
          <t>TANUM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46288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44573</v>
      </c>
      <c r="E427" s="1" t="n">
        <v>46288</v>
      </c>
      <c r="F427" t="inlineStr">
        <is>
          <t>VÄSTRA GÖTALANDS LÄN</t>
        </is>
      </c>
      <c r="G427" t="inlineStr">
        <is>
          <t>TANUM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53406-2022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44879</v>
      </c>
      <c r="E428" s="1" t="n">
        <v>46288</v>
      </c>
      <c r="F428" t="inlineStr">
        <is>
          <t>VÄSTRA GÖTALANDS LÄN</t>
        </is>
      </c>
      <c r="G428" t="inlineStr">
        <is>
          <t>TANUM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41067-2023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46288</v>
      </c>
      <c r="F429" t="inlineStr">
        <is>
          <t>VÄSTRA GÖTALANDS LÄN</t>
        </is>
      </c>
      <c r="G429" t="inlineStr">
        <is>
          <t>TANUM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46288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46288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46241</v>
      </c>
      <c r="E432" s="1" t="n">
        <v>46288</v>
      </c>
      <c r="F432" t="inlineStr">
        <is>
          <t>VÄSTRA GÖTALANDS LÄN</t>
        </is>
      </c>
      <c r="G432" t="inlineStr">
        <is>
          <t>TANUM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8584-2022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44613</v>
      </c>
      <c r="E433" s="1" t="n">
        <v>46288</v>
      </c>
      <c r="F433" t="inlineStr">
        <is>
          <t>VÄSTRA GÖTALANDS LÄN</t>
        </is>
      </c>
      <c r="G433" t="inlineStr">
        <is>
          <t>TANUM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57684-2022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46288</v>
      </c>
      <c r="F434" t="inlineStr">
        <is>
          <t>VÄSTRA GÖTALANDS LÄN</t>
        </is>
      </c>
      <c r="G434" t="inlineStr">
        <is>
          <t>TANUM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46288</v>
      </c>
      <c r="F435" t="inlineStr">
        <is>
          <t>VÄSTRA GÖTALANDS LÄN</t>
        </is>
      </c>
      <c r="G435" t="inlineStr">
        <is>
          <t>TANUM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46288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48987-2023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46288</v>
      </c>
      <c r="F437" t="inlineStr">
        <is>
          <t>VÄSTRA GÖTALANDS LÄN</t>
        </is>
      </c>
      <c r="G437" t="inlineStr">
        <is>
          <t>TANUM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46288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46288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46288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46286</v>
      </c>
      <c r="E441" s="1" t="n">
        <v>46288</v>
      </c>
      <c r="F441" t="inlineStr">
        <is>
          <t>VÄSTRA GÖTALANDS LÄN</t>
        </is>
      </c>
      <c r="G441" t="inlineStr">
        <is>
          <t>TANUM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46288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46288</v>
      </c>
      <c r="F443" t="inlineStr">
        <is>
          <t>VÄSTRA GÖTALANDS LÄN</t>
        </is>
      </c>
      <c r="G443" t="inlineStr">
        <is>
          <t>TANUM</t>
        </is>
      </c>
      <c r="I443" t="n">
        <v>8.300000000000001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45571</v>
      </c>
      <c r="E444" s="1" t="n">
        <v>46288</v>
      </c>
      <c r="F444" t="inlineStr">
        <is>
          <t>VÄSTRA GÖTALANDS LÄN</t>
        </is>
      </c>
      <c r="G444" t="inlineStr">
        <is>
          <t>TANUM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46288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58335-2021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44488</v>
      </c>
      <c r="E446" s="1" t="n">
        <v>46288</v>
      </c>
      <c r="F446" t="inlineStr">
        <is>
          <t>VÄSTRA GÖTALANDS LÄN</t>
        </is>
      </c>
      <c r="G446" t="inlineStr">
        <is>
          <t>TANUM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46288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46288</v>
      </c>
      <c r="F448" t="inlineStr">
        <is>
          <t>VÄSTRA GÖTALANDS LÄN</t>
        </is>
      </c>
      <c r="G448" t="inlineStr">
        <is>
          <t>TANUM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45415</v>
      </c>
      <c r="E449" s="1" t="n">
        <v>46288</v>
      </c>
      <c r="F449" t="inlineStr">
        <is>
          <t>VÄSTRA GÖTALANDS LÄN</t>
        </is>
      </c>
      <c r="G449" t="inlineStr">
        <is>
          <t>TANUM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45748</v>
      </c>
      <c r="E450" s="1" t="n">
        <v>46288</v>
      </c>
      <c r="F450" t="inlineStr">
        <is>
          <t>VÄSTRA GÖTALANDS LÄN</t>
        </is>
      </c>
      <c r="G450" t="inlineStr">
        <is>
          <t>TANUM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46288</v>
      </c>
      <c r="F451" t="inlineStr">
        <is>
          <t>VÄSTRA GÖTALANDS LÄN</t>
        </is>
      </c>
      <c r="G451" t="inlineStr">
        <is>
          <t>TANUM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45789</v>
      </c>
      <c r="E452" s="1" t="n">
        <v>46288</v>
      </c>
      <c r="F452" t="inlineStr">
        <is>
          <t>VÄSTRA GÖTALANDS LÄN</t>
        </is>
      </c>
      <c r="G452" t="inlineStr">
        <is>
          <t>TANUM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46288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46288</v>
      </c>
      <c r="F454" t="inlineStr">
        <is>
          <t>VÄSTRA GÖTALANDS LÄN</t>
        </is>
      </c>
      <c r="G454" t="inlineStr">
        <is>
          <t>TANUM</t>
        </is>
      </c>
      <c r="I454" t="n">
        <v>12.2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46288</v>
      </c>
      <c r="F455" t="inlineStr">
        <is>
          <t>VÄSTRA GÖTALANDS LÄN</t>
        </is>
      </c>
      <c r="G455" t="inlineStr">
        <is>
          <t>TANUM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46288</v>
      </c>
      <c r="F456" t="inlineStr">
        <is>
          <t>VÄSTRA GÖTALANDS LÄN</t>
        </is>
      </c>
      <c r="G456" t="inlineStr">
        <is>
          <t>TANUM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46288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45362</v>
      </c>
      <c r="E458" s="1" t="n">
        <v>46288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Kyrkan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46288</v>
      </c>
      <c r="F459" t="inlineStr">
        <is>
          <t>VÄSTRA GÖTALANDS LÄN</t>
        </is>
      </c>
      <c r="G459" t="inlineStr">
        <is>
          <t>TANUM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46288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45301</v>
      </c>
      <c r="E461" s="1" t="n">
        <v>46288</v>
      </c>
      <c r="F461" t="inlineStr">
        <is>
          <t>VÄSTRA GÖTALANDS LÄN</t>
        </is>
      </c>
      <c r="G461" t="inlineStr">
        <is>
          <t>TANUM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46288</v>
      </c>
      <c r="F462" t="inlineStr">
        <is>
          <t>VÄSTRA GÖTALANDS LÄN</t>
        </is>
      </c>
      <c r="G462" t="inlineStr">
        <is>
          <t>TANUM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45743</v>
      </c>
      <c r="E463" s="1" t="n">
        <v>46288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45728</v>
      </c>
      <c r="E464" s="1" t="n">
        <v>46288</v>
      </c>
      <c r="F464" t="inlineStr">
        <is>
          <t>VÄSTRA GÖTALANDS LÄN</t>
        </is>
      </c>
      <c r="G464" t="inlineStr">
        <is>
          <t>TANUM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46288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45805</v>
      </c>
      <c r="E466" s="1" t="n">
        <v>46288</v>
      </c>
      <c r="F466" t="inlineStr">
        <is>
          <t>VÄSTRA GÖTALANDS LÄN</t>
        </is>
      </c>
      <c r="G466" t="inlineStr">
        <is>
          <t>TANUM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48750-2024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46288</v>
      </c>
      <c r="F467" t="inlineStr">
        <is>
          <t>VÄSTRA GÖTALANDS LÄN</t>
        </is>
      </c>
      <c r="G467" t="inlineStr">
        <is>
          <t>TANUM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4224-2024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45324</v>
      </c>
      <c r="E468" s="1" t="n">
        <v>46288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45753</v>
      </c>
      <c r="E469" s="1" t="n">
        <v>46288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45819</v>
      </c>
      <c r="E470" s="1" t="n">
        <v>46288</v>
      </c>
      <c r="F470" t="inlineStr">
        <is>
          <t>VÄSTRA GÖTALANDS LÄN</t>
        </is>
      </c>
      <c r="G470" t="inlineStr">
        <is>
          <t>TANUM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46288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46288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45820</v>
      </c>
      <c r="E473" s="1" t="n">
        <v>46288</v>
      </c>
      <c r="F473" t="inlineStr">
        <is>
          <t>VÄSTRA GÖTALANDS LÄN</t>
        </is>
      </c>
      <c r="G473" t="inlineStr">
        <is>
          <t>TANUM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46288</v>
      </c>
      <c r="F474" t="inlineStr">
        <is>
          <t>VÄSTRA GÖTALANDS LÄN</t>
        </is>
      </c>
      <c r="G474" t="inlineStr">
        <is>
          <t>TANUM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46288</v>
      </c>
      <c r="F475" t="inlineStr">
        <is>
          <t>VÄSTRA GÖTALANDS LÄN</t>
        </is>
      </c>
      <c r="G475" t="inlineStr">
        <is>
          <t>TANUM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46288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45522</v>
      </c>
      <c r="E477" s="1" t="n">
        <v>46288</v>
      </c>
      <c r="F477" t="inlineStr">
        <is>
          <t>VÄSTRA GÖTALANDS LÄN</t>
        </is>
      </c>
      <c r="G477" t="inlineStr">
        <is>
          <t>TANUM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45872</v>
      </c>
      <c r="E478" s="1" t="n">
        <v>46288</v>
      </c>
      <c r="F478" t="inlineStr">
        <is>
          <t>VÄSTRA GÖTALANDS LÄN</t>
        </is>
      </c>
      <c r="G478" t="inlineStr">
        <is>
          <t>TANUM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46288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46288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46288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46288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46288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46288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2026-09-23T01:58:15Z</dcterms:created>
  <dcterms:modified xmlns:dcterms="http://purl.org/dc/terms/" xmlns:xsi="http://www.w3.org/2001/XMLSchema-instance" xsi:type="dcterms:W3CDTF">2026-09-23T01:58:16Z</dcterms:modified>
</cp:coreProperties>
</file>